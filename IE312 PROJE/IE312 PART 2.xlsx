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hod 1" sheetId="2" r:id="rId5"/>
    <sheet state="visible" name="Method 2" sheetId="3" r:id="rId6"/>
    <sheet state="visible" name="Method 3" sheetId="4" r:id="rId7"/>
    <sheet state="visible" name="Method 4" sheetId="5" r:id="rId8"/>
  </sheets>
  <definedNames/>
  <calcPr/>
</workbook>
</file>

<file path=xl/sharedStrings.xml><?xml version="1.0" encoding="utf-8"?>
<sst xmlns="http://schemas.openxmlformats.org/spreadsheetml/2006/main" count="385" uniqueCount="66">
  <si>
    <t>From-to Matrix</t>
  </si>
  <si>
    <t>VTC2</t>
  </si>
  <si>
    <t>UMC</t>
  </si>
  <si>
    <t>SHP</t>
  </si>
  <si>
    <t>CB</t>
  </si>
  <si>
    <t>HMC</t>
  </si>
  <si>
    <t>VTC1</t>
  </si>
  <si>
    <t>VMC</t>
  </si>
  <si>
    <t>Shipping</t>
  </si>
  <si>
    <t>Receiving</t>
  </si>
  <si>
    <t>Daily Availability </t>
  </si>
  <si>
    <t>16 hours per day </t>
  </si>
  <si>
    <t>Efficiency </t>
  </si>
  <si>
    <t>Speed </t>
  </si>
  <si>
    <t>20 m/min </t>
  </si>
  <si>
    <t>Battery operation </t>
  </si>
  <si>
    <t>1 hr charging every 16 hours </t>
  </si>
  <si>
    <t>Pickup Time </t>
  </si>
  <si>
    <t>0.5 minute </t>
  </si>
  <si>
    <t>Delivery Time </t>
  </si>
  <si>
    <t>Pickup to Delivery</t>
  </si>
  <si>
    <t>Delivery to Pickup</t>
  </si>
  <si>
    <t>OUTFLOW</t>
  </si>
  <si>
    <t>INFLOW</t>
  </si>
  <si>
    <t>Daily</t>
  </si>
  <si>
    <t>Total Pickup Time (minute)</t>
  </si>
  <si>
    <t>Total Delivery Time (minute)</t>
  </si>
  <si>
    <t>Total Transportation Distance (meter)</t>
  </si>
  <si>
    <t>Speed (m/min)</t>
  </si>
  <si>
    <t>Total Transportation Time</t>
  </si>
  <si>
    <t>Required Number of Agv</t>
  </si>
  <si>
    <t>Total Transport Matrix</t>
  </si>
  <si>
    <t>Total Outflow Distances</t>
  </si>
  <si>
    <t>Total Inflow Distances</t>
  </si>
  <si>
    <t>Mean Distance
m/trip</t>
  </si>
  <si>
    <t>Mean Trip Time
min/trip</t>
  </si>
  <si>
    <t>Mean Time per 
Trip After 
Accounting 
Other Factors</t>
  </si>
  <si>
    <t>Number of 
Vehicles</t>
  </si>
  <si>
    <t>required</t>
  </si>
  <si>
    <t>Table - 3.1.2 Method 2 Calculation</t>
  </si>
  <si>
    <t>Distance(Di - Pi)</t>
  </si>
  <si>
    <t>Workcenter</t>
  </si>
  <si>
    <t>Inflow - Outflow</t>
  </si>
  <si>
    <t>Distances Due to Empty Vehicle Transfer</t>
  </si>
  <si>
    <t>Total</t>
  </si>
  <si>
    <t>Total Transportation</t>
  </si>
  <si>
    <t>Variable</t>
  </si>
  <si>
    <t>Value</t>
  </si>
  <si>
    <t>D1</t>
  </si>
  <si>
    <t>D2</t>
  </si>
  <si>
    <t>D3</t>
  </si>
  <si>
    <t>V</t>
  </si>
  <si>
    <t>tl</t>
  </si>
  <si>
    <t>tu</t>
  </si>
  <si>
    <t># of required vehicle = 4</t>
  </si>
  <si>
    <t>Total fij</t>
  </si>
  <si>
    <t>Number of Empty Runs</t>
  </si>
  <si>
    <t xml:space="preserve">Variable </t>
  </si>
  <si>
    <t>Dbar</t>
  </si>
  <si>
    <t>D'</t>
  </si>
  <si>
    <t xml:space="preserve">V  </t>
  </si>
  <si>
    <t xml:space="preserve">Distance of Empty Runs </t>
  </si>
  <si>
    <t>Required number of AGVs= 7</t>
  </si>
  <si>
    <t>SUM</t>
  </si>
  <si>
    <t>Total Transportation Matrix</t>
  </si>
  <si>
    <t xml:space="preserve">Total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</si>
</sst>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7">
    <font>
      <sz val="12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Times New Roman"/>
    </font>
    <font>
      <sz val="12.0"/>
      <color theme="1"/>
      <name val="Aptos Narrow"/>
    </font>
    <font>
      <b/>
      <sz val="12.0"/>
      <color theme="1"/>
      <name val="Times New Roman"/>
    </font>
    <font>
      <b/>
      <i/>
      <sz val="12.0"/>
      <color theme="1"/>
      <name val="Times New Roman"/>
    </font>
    <font/>
    <font>
      <b/>
      <sz val="11.0"/>
      <color rgb="FFFF0000"/>
      <name val="Calibri"/>
    </font>
    <font>
      <sz val="11.0"/>
      <color rgb="FFFF0000"/>
      <name val="Calibri"/>
    </font>
    <font>
      <sz val="12.0"/>
      <color rgb="FFFF0000"/>
      <name val="Aptos Narrow"/>
    </font>
    <font>
      <sz val="15.0"/>
      <color theme="1"/>
      <name val="Aptos Narrow"/>
    </font>
    <font>
      <sz val="10.0"/>
      <color theme="1"/>
      <name val="Arial"/>
    </font>
    <font>
      <b/>
      <sz val="10.0"/>
      <color theme="1"/>
      <name val="Arial"/>
    </font>
    <font>
      <sz val="15.0"/>
      <color theme="1"/>
      <name val="Arial"/>
    </font>
    <font>
      <sz val="18.0"/>
      <color theme="1"/>
      <name val="Calibri"/>
    </font>
    <font>
      <b/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AE2D5"/>
        <bgColor rgb="FFFAE2D5"/>
      </patternFill>
    </fill>
    <fill>
      <patternFill patternType="solid">
        <fgColor rgb="FFC1E4F5"/>
        <bgColor rgb="FFC1E4F5"/>
      </patternFill>
    </fill>
    <fill>
      <patternFill patternType="solid">
        <fgColor rgb="FFDBE9F7"/>
        <bgColor rgb="FFDBE9F7"/>
      </patternFill>
    </fill>
    <fill>
      <patternFill patternType="solid">
        <fgColor rgb="FF84E291"/>
        <bgColor rgb="FF84E291"/>
      </patternFill>
    </fill>
    <fill>
      <patternFill patternType="solid">
        <fgColor rgb="FFE49EDD"/>
        <bgColor rgb="FFE49EDD"/>
      </patternFill>
    </fill>
    <fill>
      <patternFill patternType="solid">
        <fgColor rgb="FFF6C6AC"/>
        <bgColor rgb="FFF6C6AC"/>
      </patternFill>
    </fill>
    <fill>
      <patternFill patternType="solid">
        <fgColor rgb="FFD9F2D0"/>
        <bgColor rgb="FFD9F2D0"/>
      </patternFill>
    </fill>
    <fill>
      <patternFill patternType="solid">
        <fgColor rgb="FFB3E5A1"/>
        <bgColor rgb="FFB3E5A1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top/>
      <bottom style="medium">
        <color rgb="FF999999"/>
      </bottom>
    </border>
    <border>
      <top/>
      <bottom style="medium">
        <color rgb="FF999999"/>
      </bottom>
    </border>
    <border>
      <right/>
      <top/>
      <bottom style="medium">
        <color rgb="FF999999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/>
      <top style="medium">
        <color rgb="FF999999"/>
      </top>
      <bottom style="medium">
        <color rgb="FF999999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0" fillId="0" fontId="2" numFmtId="0" xfId="0" applyFont="1"/>
    <xf borderId="1" fillId="4" fontId="2" numFmtId="0" xfId="0" applyBorder="1" applyFill="1" applyFont="1"/>
    <xf borderId="1" fillId="0" fontId="3" numFmtId="0" xfId="0" applyAlignment="1" applyBorder="1" applyFont="1">
      <alignment horizontal="center"/>
    </xf>
    <xf borderId="1" fillId="0" fontId="4" numFmtId="9" xfId="0" applyAlignment="1" applyBorder="1" applyFont="1" applyNumberFormat="1">
      <alignment horizontal="center"/>
    </xf>
    <xf borderId="0" fillId="0" fontId="4" numFmtId="0" xfId="0" applyFont="1"/>
    <xf borderId="1" fillId="2" fontId="2" numFmtId="0" xfId="0" applyBorder="1" applyFont="1"/>
    <xf borderId="1" fillId="5" fontId="2" numFmtId="0" xfId="0" applyBorder="1" applyFill="1" applyFont="1"/>
    <xf borderId="1" fillId="6" fontId="2" numFmtId="0" xfId="0" applyBorder="1" applyFill="1" applyFont="1"/>
    <xf borderId="1" fillId="7" fontId="2" numFmtId="0" xfId="0" applyBorder="1" applyFill="1" applyFont="1"/>
    <xf borderId="1" fillId="8" fontId="2" numFmtId="0" xfId="0" applyBorder="1" applyFill="1" applyFont="1"/>
    <xf borderId="1" fillId="9" fontId="4" numFmtId="0" xfId="0" applyBorder="1" applyFill="1" applyFont="1"/>
    <xf borderId="1" fillId="10" fontId="4" numFmtId="0" xfId="0" applyBorder="1" applyFill="1" applyFont="1"/>
    <xf borderId="2" fillId="0" fontId="4" numFmtId="0" xfId="0" applyBorder="1" applyFont="1"/>
    <xf borderId="1" fillId="0" fontId="4" numFmtId="0" xfId="0" applyBorder="1" applyFont="1"/>
    <xf borderId="1" fillId="0" fontId="2" numFmtId="0" xfId="0" applyBorder="1" applyFont="1"/>
    <xf borderId="3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vertical="center"/>
    </xf>
    <xf borderId="3" fillId="0" fontId="2" numFmtId="0" xfId="0" applyBorder="1" applyFont="1"/>
    <xf borderId="4" fillId="0" fontId="4" numFmtId="0" xfId="0" applyBorder="1" applyFont="1"/>
    <xf borderId="1" fillId="10" fontId="2" numFmtId="0" xfId="0" applyBorder="1" applyFont="1"/>
    <xf borderId="1" fillId="6" fontId="5" numFmtId="0" xfId="0" applyBorder="1" applyFont="1"/>
    <xf borderId="1" fillId="7" fontId="3" numFmtId="0" xfId="0" applyBorder="1" applyFont="1"/>
    <xf borderId="1" fillId="8" fontId="3" numFmtId="0" xfId="0" applyBorder="1" applyFont="1"/>
    <xf borderId="0" fillId="0" fontId="3" numFmtId="0" xfId="0" applyFont="1"/>
    <xf borderId="1" fillId="10" fontId="3" numFmtId="0" xfId="0" applyBorder="1" applyFont="1"/>
    <xf borderId="1" fillId="5" fontId="3" numFmtId="0" xfId="0" applyBorder="1" applyFont="1"/>
    <xf borderId="1" fillId="9" fontId="3" numFmtId="0" xfId="0" applyBorder="1" applyFont="1"/>
    <xf borderId="1" fillId="6" fontId="3" numFmtId="0" xfId="0" applyBorder="1" applyFont="1"/>
    <xf borderId="1" fillId="11" fontId="5" numFmtId="0" xfId="0" applyAlignment="1" applyBorder="1" applyFill="1" applyFont="1">
      <alignment horizontal="center" vertical="center"/>
    </xf>
    <xf borderId="1" fillId="3" fontId="3" numFmtId="164" xfId="0" applyBorder="1" applyFont="1" applyNumberFormat="1"/>
    <xf borderId="1" fillId="3" fontId="3" numFmtId="165" xfId="0" applyBorder="1" applyFont="1" applyNumberFormat="1"/>
    <xf borderId="1" fillId="3" fontId="3" numFmtId="2" xfId="0" applyBorder="1" applyFont="1" applyNumberFormat="1"/>
    <xf borderId="5" fillId="12" fontId="6" numFmtId="0" xfId="0" applyBorder="1" applyFill="1" applyFont="1"/>
    <xf borderId="2" fillId="5" fontId="3" numFmtId="0" xfId="0" applyAlignment="1" applyBorder="1" applyFont="1">
      <alignment horizontal="center"/>
    </xf>
    <xf borderId="6" fillId="0" fontId="7" numFmtId="0" xfId="0" applyBorder="1" applyFont="1"/>
    <xf borderId="1" fillId="3" fontId="1" numFmtId="0" xfId="0" applyBorder="1" applyFont="1"/>
    <xf borderId="7" fillId="3" fontId="2" numFmtId="0" xfId="0" applyBorder="1" applyFont="1"/>
    <xf borderId="0" fillId="0" fontId="8" numFmtId="0" xfId="0" applyFont="1"/>
    <xf borderId="0" fillId="0" fontId="9" numFmtId="0" xfId="0" applyFont="1"/>
    <xf borderId="7" fillId="4" fontId="2" numFmtId="0" xfId="0" applyAlignment="1" applyBorder="1" applyFont="1">
      <alignment horizontal="center"/>
    </xf>
    <xf borderId="0" fillId="0" fontId="10" numFmtId="0" xfId="0" applyFont="1"/>
    <xf borderId="1" fillId="0" fontId="11" numFmtId="0" xfId="0" applyBorder="1" applyFont="1"/>
    <xf borderId="8" fillId="3" fontId="1" numFmtId="0" xfId="0" applyAlignment="1" applyBorder="1" applyFont="1">
      <alignment horizontal="center" shrinkToFit="0" vertical="center" wrapText="1"/>
    </xf>
    <xf borderId="9" fillId="0" fontId="7" numFmtId="0" xfId="0" applyBorder="1" applyFont="1"/>
    <xf borderId="3" fillId="3" fontId="1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2" fillId="3" fontId="1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 shrinkToFit="0" wrapText="1"/>
    </xf>
    <xf borderId="2" fillId="4" fontId="12" numFmtId="0" xfId="0" applyAlignment="1" applyBorder="1" applyFont="1">
      <alignment shrinkToFit="0" wrapText="1"/>
    </xf>
    <xf borderId="14" fillId="0" fontId="7" numFmtId="0" xfId="0" applyBorder="1" applyFont="1"/>
    <xf borderId="2" fillId="3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shrinkToFit="0" wrapText="1"/>
    </xf>
    <xf borderId="1" fillId="13" fontId="2" numFmtId="0" xfId="0" applyBorder="1" applyFill="1" applyFont="1"/>
    <xf borderId="15" fillId="3" fontId="13" numFmtId="0" xfId="0" applyAlignment="1" applyBorder="1" applyFont="1">
      <alignment shrinkToFit="0" wrapText="1"/>
    </xf>
    <xf borderId="16" fillId="3" fontId="13" numFmtId="0" xfId="0" applyAlignment="1" applyBorder="1" applyFont="1">
      <alignment shrinkToFit="0" wrapText="1"/>
    </xf>
    <xf borderId="17" fillId="4" fontId="13" numFmtId="0" xfId="0" applyAlignment="1" applyBorder="1" applyFont="1">
      <alignment shrinkToFit="0" wrapText="1"/>
    </xf>
    <xf borderId="18" fillId="4" fontId="12" numFmtId="0" xfId="0" applyAlignment="1" applyBorder="1" applyFont="1">
      <alignment shrinkToFit="0" wrapText="1"/>
    </xf>
    <xf borderId="19" fillId="12" fontId="11" numFmtId="0" xfId="0" applyAlignment="1" applyBorder="1" applyFont="1">
      <alignment horizontal="center"/>
    </xf>
    <xf borderId="20" fillId="0" fontId="7" numFmtId="0" xfId="0" applyBorder="1" applyFont="1"/>
    <xf borderId="21" fillId="0" fontId="7" numFmtId="0" xfId="0" applyBorder="1" applyFont="1"/>
    <xf borderId="22" fillId="12" fontId="14" numFmtId="0" xfId="0" applyAlignment="1" applyBorder="1" applyFont="1">
      <alignment horizontal="center" shrinkToFit="0" wrapText="1"/>
    </xf>
    <xf borderId="23" fillId="0" fontId="7" numFmtId="0" xfId="0" applyBorder="1" applyFont="1"/>
    <xf borderId="24" fillId="0" fontId="7" numFmtId="0" xfId="0" applyBorder="1" applyFont="1"/>
    <xf borderId="0" fillId="0" fontId="12" numFmtId="0" xfId="0" applyAlignment="1" applyFont="1">
      <alignment shrinkToFit="0" wrapText="1"/>
    </xf>
    <xf borderId="1" fillId="13" fontId="15" numFmtId="0" xfId="0" applyBorder="1" applyFont="1"/>
    <xf borderId="1" fillId="3" fontId="16" numFmtId="0" xfId="0" applyBorder="1" applyFont="1"/>
    <xf borderId="1" fillId="2" fontId="16" numFmtId="0" xfId="0" applyBorder="1" applyFont="1"/>
    <xf borderId="2" fillId="3" fontId="2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24</xdr:row>
      <xdr:rowOff>0</xdr:rowOff>
    </xdr:from>
    <xdr:ext cx="304800" cy="304800"/>
    <xdr:sp>
      <xdr:nvSpPr>
        <xdr:cNvPr descr="data:image/png;base64,iVBORw0KGgoAAAANSUhEUgAAAQ0AAABuCAYAAAA9BUZIAAAQAElEQVR4AexdB2BUxdb+zr27m4QkJPQOoYN0BRRFBSsq6rMgdsXee3v+z/KevXfFpyIKFsTus2EvgB1EmvRO6AFCSN39v282F2JESFAg6t7sycydPmfOOXPmzNx7vdjf8Yqy078XWMQWfxWpY3OFbCn/5vL+GeP+Sv3dUl8U/2ccI7bZQ+KquhgwNm1zwOjEL4GB7Y2BhNDY3hgvW58EQtn7v7v/74SPP3Ff/55CQwP2e6EiDL6JOmKI/0FxWygjxvjyQK0WJdEoSmJRyM8kG35RhguoQW4IK+tR+Obiy6bdUf6o61cUDj/CUVlAxa4t9fP34kDlCzbbmtJ2b7Ifitts5l9Gqq4AfhmzY+62WmioE0GT5Q8GQn6B7ktKSlBcXAz5FSYI8mxPt3y9RUVFKCwsREFBAdavX49itlNhapPaqjYrj9ovCO4VL4ZVWqVTnCDwB3nkChSuvHJ1r/qWLl2KRYsWYd26dSibV2kESi9QnKCQ+CuiMCiOxVBEhlq6cgXGfvsNvvn+e6zMWQW1Renz8vLw9ddf45NPPsGSJUtc/xSuMpRG7qRJk/Dqq6/ie+bNz8+H2qQ0qleg+7KgMNdn4kfh8itMeYIyVW4QpjRl7xUuUJhA+QQKU1pBWX9ubi5++OEHjB49GqtWrXL4Ub4o+650AuURyO/iiJvAVZtWr14N9fODDz7A3LlzHX6UXm0XrFixwpU/ceJECAfKo7LULkFQlvIEoHilEyj/hAkTMGXKFFe26Ed5lFfpBEE+hYvOFFbWr3ulUXsC0L3SCAK/8qrOZcuWufo0rqonCFc5Sq8wuboPQGUE/rKu0il9EB/UXxm3UkJDFW0KggrVIMXrPnA9L16FGh6EKX57glk50c7b6TOm45HHHsVtd96B1WvXwA+F3OwdY1pjm0Wonu+7sBISbQkZtrC4yAlAeOYI2swQ9C9wwUsDvZ5MWURmM99DlHnXUTiNJVP/+6abcMXVV2HUB6MQDB6zuPLK4ki4VP4oNRPVLbeQwu6rb77GLbffhvsffADTZ8507VO++fPnY+jQobjvvvscgYkBRVwqR/ESWC+++CJuv/12DB48GGIu1a941S/Q+AQQhMs1I8KYQOV4xI1PvMjVPYNd2+XqPshvFsdR2fxm5gRV2XTKpzwKmzVnDoY9NxwvjhiBmbNnQ/2VpqU0UY1BGQER5FG+wK903333HW644Qb861//wpdffukmBYUHMHnyZNxzzz145JFHIAGg/Gqj+iMI0gk3ZvH2SrhIKCvss88+w9lnn4077rjDTToh0o3ClVdlqS1qs9prxJXn+26MNIaeH/crXumCuuSaGcwMKkPtkas0EkqjRo3C3Xff7YSdaEt1mZmyOTAzR4fKI1A+uQL5BeCle5VtFh8b3QdxjK7wL87RFUiuws3iDRWSRJAiRCFUoM6tWbMGK1eudLNETk6Om/EUpoaWzV+B6v6QJKpT8KvC2I8vx47FyFdewYcffYzF2dkoipZwcIEou6hZvYTMWkxmNxKFGL+YBOs5vw+Yx5/nBliDaGYbGMfM3OCHwyE4RqemUMKwnDWrIYb/ftwPiCQlbShDBIDSKxhE4VdBnu8hZkBRSTHyqRmJEHfrtTs6dOyIug3qIzU9jfVGIe2ncePGOOuss/DPf/4TnTp1QlpaGtR3jZPwL0Y//fTT0aZNGySxfjNz7VS4+qA6BUqre+UVyG8WT2sWJ2qlU1vNzAk+M1NzHT6UR3UqQAzlkXGC9EEes3h6s3h+0Y/qbdasKU497XQMOuMMNG/ZAhby3bjkF1ErJKgcla+0qkOu7s3M9UXx7du3xy677IJatWohNTUVaoOZqTkOOnfujJtvvhlXXnmlS6MyVL/6KXp2ifhP+dRehUureO6555xmItyq7Nq1azMVnOBQH1WOC+A/tU3aayHHTTRQQoHHBReKYiUoLCnhWBa4MWPSDT/1o2wZuldkJBLB/vvvj6uuugp77rknyo6X0quNctV3pZfr6ifd6V5tMzNHC0Gc4s3M4UxpKgteZTKocapw2rRpGDlyJB5//HE3s/3nP/9x0v2666/HFVdc4fwXX3wxLrnkEnz11VcbiClKJixfn5O65QIVVi6oUrdCeJQD5dpLYtPAC9ZRhdeyADAce+yx6EjmSqmW4ph41aoc5BfkIz9/PWL80yynPKu4BFhNYVjEQSgg466lCr2W98uXL3fC0czIuCXQ4GhQlCefy56VLG/JkqVYszbXMZbCCtiWjp064tzzzsPB/Q8hAXgur+JyKGQFImDhWMI2j9pJfkEhFi5ajB9/+hGLl2QjOTkZDSgw1q5di8lTJuPbb7/F0tLlSMOGDdG6dWvHLGqL2vjNN9/go48+wrx581CvXj1k1siECF5MUcB2SuXVkkbjpCWBiFD5NEtLhVdb1CfwUpmKV9uUb+HChW6pJa1Fms2y5cugvMKx0moiUboFCxYgm4JZ4QrLYV9Vl+oP7tflrQOIS7WvVu1a8Cl0FbeUqvnUn3/GD+PGYQmXdprxpVVp+aFZX9qCytFk9dNPP+G9996D2qX6JRx9n0KebXc0QcGv9qsM4VljKjyqr++88w5+4pJF+ZSGWaC+qz+a5V9++WW33KlZsyaE5xkzZkDLFOFW/TEzR+eLFy/G99R2Jvw0AavYT41hDpdM8s+ePQfffvMt5hMfII2pjgDUPtWtsn5mf3/88Uc3ZsKrxkr1hsNhCJdjOeFJY1I/ZlMj0/hpKab7mdQ+1ZePP/4YaovGaiWXtMK/aOG1117D1KlTSef5TpAE9VfGrbDQUKcEGvj3338fL7zwgmOa6dOnO6IUkx122GHo2q0blpJ4li5bihAHPiW1GtETc5K1qCSKQgqOQg5ePlX9dYUFWLs+D+vIrAWUylq7F0VjWE81fB0ZNI9EvWZdHlaRUVeRSVbTX1BUjHwy0moy47q89cjPL6CqvYYaTg4KCouQS6afn70YM+bMxvcTfsTHn3+OKTOm4aepUzDi1VcIL2Px0iVsE9CpSxcsp2Y0dNizuOnWm/DY44+RuJc4YllHAfP6m2/gX9ddh8suvxzDOdNM/Xkq0wzmTHgaTj31VCcgNUgSGDERjQELWfYDjzyME04+EcefcDyuvfafEGNrACeQEKZNm46xX42FytcMJC1h/PjxuPSyS3HOuedg7NdfYQyJ4v+oXr9CQn2N2tD1/3ctrr3qatxC4TyBaVESw8yfp+GJx5/A9Tdc79r25ZgxOP+CC1jGuZhI28U4prv+hhvwMvM/PWQIbuHsKluKEwCeIb+kCOMm/oSTThuEO6muX3Dhhbj1ttvwHe0dl1x6Ce64807X7yeeetIJRI29+ikifvLJJ3HIIYegf//+GDRoEMTAb5PpjjjiSBxKGvi/f/0fZnOp4fpx3b9wJWfJk085he6V+PzLL1w9F3FS+ZoC7cWXXsIZ1JBeGvkyRhMvl11+GTQJaZnx9NChOProo3HiSSfiwosvwgsvvoD/su4LL7oQt9x2K2749414ZtgzXMrMwnPPP4977r0HEhwSKuqnmEhuwBDqw7PPPsuyLsYtt97qNOHH//tf3P/AA3hhxIt48MEHobyabJRW/Z0zZw5mzZoFMZ8EiAunIFL/NEa333EHbuOST8JxBhn2buLy9rvuxKWkmWs59h98+AFuZV0DBx6Dk046ieGX4qab/oOfOX5Bu+SaGSQoNOkK/kmNcSAntvPOP594uwqnn3kmXuJE/SEngJtvuQWvkvmzOVmMou1G/f6MdP7Gm2/imn9eg3//59+4ljRzxVVX4PIrL0G/Qw7Efgf0xZVXX4Z77rsL1914LSZP/QnFJQWsuvJTdIWFhhk5glWYmZvNzj33XFxCTUKCIiMjA13IgHv17YvTzz4Ld959DwYefzx8qsG5nC3nLVqImXNnY/W6XAqEQgqBNZhIBnzrvXfxLjs9iwarXNoAcikoCrRMgGHK9BkYTkK6iwN57Q034pyLLsaDjz6COVy7T2XcHXfdjSHPPIsfJ03BjTffirPPvwAT6P/08y/oPw8DTzwBt959J26/526ceuYZuP6mf+OTLz/HrRzQL8aMRoyMM2/hfEQthpy1a5BavbpbS99yx+1YnbsWz5GIHnviv2jUtAmmUug8OfRpDB0+HJ+S6BdysKQx7NN3H2RkZjoBJHVUguzjzz7FJPbtcmpc1157LTRzvMnBTE9PR/fuPdB9l11w6CGHolq1aiA3AlTBm7duha7duyOtRqZTX7MpdOs2rA+fy6EvPv8cmvkyqmdgGglt+dJlAAVrxw4d8X8s/x9HHonlOStRq05ttGjTGslpqVSDoxj5+qto3a4trr7mGqfa7sLyQ5ypUlivDKr5FLDDyITLVq1EwyaNECU+Phv9Ja7+17Wu/Yccdij+7/rr0HXnnVldDJoFxTCa9Zo1a+baLya4jzaUJk2b4n/vvoN2HTugVbs2HLtpuP3uu4jDF7ATtTkJpaOPHYhCjm219DSovxLuYN+F39Tq6dB41KtbD3Xq1KHmF0HdOnXRvHlzNGzUEEcfdTSeHvI0eu+1J6ZOn4Y1eXkcr3Ro+fge6Uflv0sb0dEDjnFCfsCAAcjMzCR6PZgZqXbjr+suO6N6Zga8SBiawBZzcqteswYuoBC74JKLUYN4VB89Lqs0s2up07JlS7fk69mzpyvIiKu2HXbC4CefwFEUBt+PH0cBPAGPPD6YRuqvubRqieoZ1amFLYYYW22R1nMhBfPZFJAraeSdwknMFVb6T2MsLUL1ailyIgXMLj2749QzTodw17xVS6TXyMTuxMEuu/ZEMaluFel2xeoc9OjVC3Xq18Nno7/APBrZwykpiPke6ToHe+2zF9q0b4VuPbritrtuxYmDjid953CMJyKvcB1gMVT28iqTwcwg4t97772x3377QUj1fR/qcDIFhO95LiyV2oXW7ZLSTz31FCXrTZS2t+FbGgLXrlnrZqaHHnoIQ8mId5G4hjw9BPPmz0OI+YkLaJhXUv1/8/XXMer991CdDNewQQMatkZj4sRJKKQmMpPSX7N3dRKcVLe1RGAJiVJrzggJotduu+Gf1/wT53EpkEGGG3TqIFz/r+sgZps5YybEAOqLiPPqy6/ENVdfg4P7HQypcJpt3yKjp6WmIY+7HN136Y6+ffrgxONPwP7sdxPaD86j0DyegrFmjRqu/zE2ehWXMuOpTdSpWwe7kEnbtWvn1tdSnTVTmRnEtGlkbOFMbQAvEVW3bt3og6tfqmSrlhQAxKlm9mZNm+GII45wzN+BjJmSkoyaJPRMEr/6npSUjHAkwmVLAzc+S6jtLOaSpnHjJkilkOjStStOpWZUlwyZll6dfcqjCr8A07nM1FiKKW/h7KW1/h233Y7dd9/dzWTCcbt27d0ugcexCaAd+1WD/Rau27Zti2KOx3IuI6S2H374P3DGGWc65l+2fAUFZXe2tSYaE2dqa40aNZ0twcxgZqhOYa1wEllBuQAAEABJREFU8MrKykJWsyz4nu/Ca9EuUbtWbdSvXx9ZjCukoDMz7LPPPrj88itwG9sqVwyZSvtFg4YNINxI8Egoi/nNjCVv/KmsNNJTMpd5KYTdeu2G1bQ33UsNQXgP+yHXLo2PBKVP+lbuAmq9ovcUMmQGJ8mOHAfhYGeOW4jC2Ge+GmTqphwr4e/kk06GBES/A/uhW9eukK3lwAMPRKeOnVGndh2H02D8Vb7qU5tkwxC9qN6WLVs5wanlZM1aNQF2pVHjRujStQu0C/f22287Yd6nbx9kcjzE/gMHDnQa09NPD8UD9z+EAw84ECqn/U47oWmTpujSqQtxlIIotX4BV/Go7FUpoaHCRTgaECHQzKB7M7q+B9kRxPTgfQGXHOrsMcccgyOPPIpB5taM03/+GZ9yvbWEa78GdeqhacOG8NjyXK77jJlDLCdM2K1nD/SiRO3EzvY/qB+OHXA0GpMoVuWsQJMmDUmImaiWmkIEJKNGzUwkpySxLUCNzExkpFVHDQqKujVroVG9+kgJk6Hq1kXtzBqoW7s2VIcHQ9jzETYP6RQOEli9e/dGSiQJUdovSmh/OIzq91UUKDfd+G9ceN75aETBlZ6aimSmCbPMUIj5yazsLth5ZxRbSoaVeisQUQpXYL9iBBGnlndFLN8nMTqi4UibGVq1auVA6qzWy1nNszjjJqEGiaE7BdBB/Q6CBIsIVkuaGLUNY9vNDOBPBODxXvXICFqDBCxBvGLFSkhNl9ote0wutb10Mo3UdrWjRVZzV+6uu+6KrKwspFevTkF7Pvbddx889thjVPufg8eZ1cygPokRC8hAKjPCvouxcilYMzIzcdBBB6EPJ5S99toLXbt1RZiakiYJ5QMvMZbneVAZAvVfcWIWMX4hNU1Kcwg3ZgYzjhEZMhwOIbiUTgKoU6eO6NChg8NPLBYl8xRBAraAy1XZQtRGlRcjbQV55RYXFctxuypK02OXHrjyiiuhnY5HqMnOmjWTZcXTqB1KXJe0k09NWIJfZcpv5kF9iXIcJEjkl/CT4Nxt192w7z77YmdqacKzxquAS2rhSulC7I/v+exqzIHq8EkPO5HWG5DGnn76aczh8npP0mP9evUQpfFUaTS+vnno3KkzJ58UvEtNXWPdtnVbh7MiCtUol/4SxKIT2YnyWe8S2tbW5eYhv6AIa9auA5PA83wW6REq/6twLiHfZ8dUhVl8QAO/Br24uAQMZmM8upxRU6pBCJRhriVVqyZU82Ns7XIaswrW52OfvfviIq7B/02GvIBLi/Zt20G9iUWpeFFj8AyolpyEainJCLPeavT7DCzg4GkgknlfXFxIRKwnU+SSYdeTaNaigDaNNTk58Ng4FoFVtFnkc4mUT3vIWhowV6/KwTK2QbOjBJjiZs6cgXWr12Dcd9+jAwduJ7alRbPm+GrMGPw4fjwm0cAm28K4H37APBqeisQ0ZBQRg/ACGMzzOHAeZ8gMyOj4yaefYOKkiZhOm09zqtnrctchm4JSTLKW2pbyxUhw4OV7vjNOihga1G+ARo0aQdpMPRIro6HlzYMPPYiHH37YGZYlAGRMm8tl3dy5c7BwwUJIQGTTULo6ZzWSKNSkAYwbNw5DhjyFR5jvgQce4Np8JubTIDqNKr7GrG3bNnjn/Xfx0MMP4YknnohrhLRraKege/ce1FzqY9LkSTDznMDwPI9DFIXODYhxZnINr35IgxE+taX74UcfYjDVdBnj1tIO9cabb7jt5bFjx7gtTjF0KOSzvGLIkCmYRo1Hxkut6dWPNZz5ZayTkU8z6vz5C7CCWos0jzCFiGxqTzzxpGuzzp2kpaWT+YBXaL8Z+fJIKF72B+FejC4cCtTWOWRGtV00pHMtN99yszNwaoxipE8JQzOOJ6GYwl19FsjgKiOizriorTJWqv/Cz0ou8aT1it5lnB48+DEMe24YnnzqSejcyUQaWKV1f0sbzrx5c0kH2Vi+YgXpNs/hU+0SaEJRu33Sez1OdqKv6TS4/kz8zJ7F5X1ODiR8GjdqjJ277Yz21AIF0kIaUBtTH8aQZu/kEvw/tJs8/8KLxMUH1EqWY+aMOZgxYxaNoNNQWFiCyZN/xvq8ArCnQk2lQLxVoQxCnBLKVafMjANfAhFB3Hq+1iEgSqmvdGbmmAi8ijiDiDlFWCESYIhNDZMAU6hWF1M6LiDxryWxhz0fPuOUJsoZIUZBtJbrvxVk8mXZS5BLpK3mEqCIBlSfiJUBUdZyHebJpbH02+++hZC2ngw9l0ieRYb9adx4SHMY98M4JwRWr1yFRSTC1RQmWVTXqlPLGEGj7rBnnsVPXFqcxz14LYWOo5qXS+a+9aabcf+992EWB6+Iwm7ShIkoITGNGT0GRWz7hlmA/ZRmJRW0NtXPV199DSNGvOSEwaGHHgYR6ToKLhGHlg8SHm7GYT+EUzF6t67dqJUdCc3UdTnDaOY5gsuS2tSOppPRJUjS09MgIknlElAEvJrCLoU7QFpW5azOQSo1ITHrAVRL9+L6N5v2FxGoDIpraTyuweWBlmue5+NMLiMkqGQ8nEdhIsPmSSee6AyEEiISLPvvtz9HBDAzN75iKtWrNgnv4NWCa/5jjzsO2hFRv2uyjhuvv9GVv55CXEJIjFNAYav+S1Xu3qOH230Qs0l1BzUxGT+N9KF6JXR+/HE8tOMTY1z20mw0p1Z0LI2DXbt2JSMsJX35UL+uufpqXHTRRdCyZOzYr9giuGWhZm2f+FWA6o1SKEj170HNrSO3rbUc6UDbxAe0h8yihiFDbhsut6QFmRmkSSl/X9rqsqiFyeYgmtPSW4JqLA3WEiBdac9byR2K3r33xDG0qwjnY8m8DRs2QgtuHWtXSeP28SefYDTDNeFl0/Ygw7ToQO0Sfag9Ek5p3C6X8fyuu+6CjMKjaWuSFqOlbQFpP4kTpjQ62Ui69+hOzdl3E81pgwY5fGhJ144T3wlcPterWx/duu6CVtxVmzRxMtauyUXnzl24nE3iVn4JMYtKX16lc5Rm0CCIUTUTFFIorCIzruVMLgRIYmo2lJQUYS2herSAjJpDRtXsuVP79niX1vZraaS76/bb8bUGmmqksQu+qYISSsRJ+HnqJMzlzPDmG69ixIvPI4cGv/kL5kFCqm/fvSHbwFdfj0H9BnVxGA13tbnum0tNoCcJsm2bNpg6eQq0ROhHBpJ2sIaCaSCNZIeTidMpLC6/9DLceMMN6Ep1rw4Z81//93/oSoRWozDrvfseuI8G3auvvBK33HQTtNbfn/aMuzmQt918i9s58DljajZyLSZBygbSr18/3M2dh1uZ5gJqUoI2NFDuu+++bta/g4bWXjRcacZkd5V1A9TnVuqRNGzuRnuMZuNqqalU9/vQHnQrnvjvEziVdoldqfpKM7v/vvtxHXdYbrv1Nsg+dBPbeN+990GHlrTmb0J7xplnnOW2xe+4/Q7sscce6Evif4Q7O/fffz/at2+HVq1aQ3aelyjcZNBU3cqrZYnsGw899DAGHD0AmvE8CnmNuYSSrPvDaRRWnVouSBU+grYMCZrnn38O53IXSAbMgw8+GI8/9jiGDh3qBEgybQj5FLyNyEwXXXgRnhn6DO6nIVU7O5dyLC6msVvbmw888CDuIF3cQgO32nXtP691M2s4HCLBd3a7VurrpZdcii4cr+q0MexJhr3xxhtdf6WR3cFdDS2NxWxqt5lBfRh4zEBoZ0LGRh0LUBlPPvkU6WsEBg0aBNmA4GgQGy4tu57krs3111+PSy65BENop1O7z6JRU0x9D+nkzDPPQi1ux0roSnN76skhOG3QaaSnrrjrjjsxfPhzuJv2O9mOXnxhBFSWNAO1TRWJpiW8JSTVNtHiKSefgj59+rjlonB0zDEDUIt0amZoSG20A5dnEjBR8o6gDjVTCVXRxIUXXIjWrdug34EH0RZ2DW68/j+47NIrcN11N+DOO+7GDdfdiPr1GoBZVX2lwKtU6tLE6qgkowSD9ve1bp/CvV+txcVEmrWkWqZWS4XUTKnJUi1FLJkZmZB1+5RTTuGAd8YBBxwADa5Uckl14gOgttKMFvkLL7yA6+pHcNPNN1F1/jfV8wfxbw5cu/Ztsfdee+KhBx/Ak9zhuP66fxGx5+C4447FueecjRtvuBGXXXYZzjjjDIhpL+YspJnoOM6GAtUnYhLBa8bRbC6jpgx8vudB/Uum4FCb+pLRtMQSwQmasl0tWrRwxlkxvZuVuGwKUYCEIxGEPB9JzNuQthoxpgRbKBSG73nwaSzzGC/BGitdmqDM5ZmHMNVvgZFyYxREMu6GOFumcvZJphEuRDuBwGN5YuagLDND2NXjUyMogWsPy1K6cCTC+xDYMags9U9uUlIE4XAISTS4+mqXjGOsM8x8rWhjkZFXeZLI7KpHZflsi9x02kU07mqLygMvxYHtjnB5pDThSBgKW8+t8am0ZWmCmb9gPmRXULhHvIloYwDMzM3sQR+Un0EQHuQX+Oo7cRgj7qJawnoeXLjnswAgbtdhDmY0s3i/2F6UXkqrZWTI4cmDmTG/79qoGd/jfYh1sASUvVw+xilMfrXZPE5x9JjRZYTaLdovpnbswYjXMJTGJ114bJ/w7bPtycR1jIQjw7lwKlwzu1uqaBIWv/yX28CPPPqoO3MiOm1M46fHvrI6lgyEWI7vefDZt0g4AtGN4gW+58PMoH4onerQ+Ag833N54/3jf/NcWlTy8iqZfkNy3/edRfzkk092klvbb2IyWZ+76NTdf27C448+RiPTFdBOg2ZeMbG2ryQ8NKtpxjqWy4DGnHnU2aBwz/MhIaP1WitakGvWqEWDVy00a5oFqV4+kZJEZKVzLRsJJzlEeESAwOR6HpLEKKXI1cBICGg5pPYZ9Aci2+DRHyahyAWJ0WfdghiZJ8Z7M6bxPNbh075SDZFQGK4e33OD5hMPIlYxsAEsDQgxvcr02Rbf85neIKIJ0a/6fc+DmFFAHzYA61Iej6UYQf4k1qd8RooxAB7TCEQEIZajcn3Pg8c4t1RiurAXQoh1hZjWJxjjfLYT9KtP8vvCDQy+5yPGvnqeBwkP1WcAjdOAK9v3AMabGcwMYi7hk0ncvRnDeUPH2Z6UB2wDc0Ht9DyjSrway7mNnJmRgdnc9cqhxqidPo91+2yX7/DkwVgOxFCsT14zMiT9MQozxSqPylYdEY6/XI+ZfP7zWYZwrnzCjcqVq3uBmcHzPKj8KA2LHmtTHt/ziAPeMV44Y4Jf/QLGU375VQ9zIIltYPWu3x7z6z5MISHaC7NfamtMbWccREuUjsonYDdde8zMuZqMjjrqKDeJSnOrQQO47g879FBnqPfNQ4ht9Zhe5ZqZu/c9D26MiXO1ReB5xt4BwkEoFIaEh/wG1cz/zKsxF/7MDJW9vMpmUHozc5JUa0ZtveqYq1T3pjTQJIfDSKMRtBat9zVpUc8kYwtqkGAyaJnXeiwUDkGqqmZPzWJ+KOQ6qEcjbFcAABAASURBVI55JHhByI8wjBAi+GHWF3H3noUQ8ZMQ8sIIWYi7HyFEvAiSw8lIUh7Ph5nBPA9+yIfn+wixTZ7v0e+VhtH1ffpDjGN+Sv9wUsTde77v0oUiYd77rLMU2EYzAzggIbY/Eom4dB7rCTFPEpkwBEOS5zuIMFw2mgjv5QrExGGGKywSCkF+DyyyFHy6ApfO9xBm+8MsW0SaxMGPyG8e++s7CLNsl5Zh8ieF4mXG8/jwPQ8+83gsS67KCfkMJwH7ZEYT89AfZv4QAJ/gEdQ+EaLPcAfM45WWJcESYj0qLwiTP8z+K63KitAvCDNPMtvdlssgHU677667cRGN3k0aNuYuVQRJLNcBy0tinjDvw56PCF21QSB6CvrlwhVXCmGWH1E+5glxbHzPg9omMDPnNzOYGYIrzPQqL94/pmGc6k4ORxBSfpYVpA1cleezTkHc78XTMm+YOAp5PsKMj4RCbHuIdOnB9zz6fdJl2MWpvhDTy1VajYWEr5m59vnMLxuWlkw33HADLqem3G///VGLmnkkxDJZnmx9wkmEacOqV6BwQoT9ioNPnvBc3WGWXRYiniFMUH6B8Geo/CUaqXyu0hxm8SrNzHXcrNRlPH2/DGMcg93PjLEE3ZgZwJ8D96/0xoXH/WZxF6WXmcHM3J2ZOT//x13eK8LM5PwSFEYwY5xAsYHr/PznovhP3rJxvAeDzfhPfoJZ3G9W6ipsAxjMjHdA/D/d4J5uEIbfuIy5HJRJG9wri5nJ+RWYGcwIsA1xZr/2SzvySXQBAUgAbEwVz6p7ge7MAp/u4mAWDzMzmBHiwTC6ZkbX6INj3hqZNSBDpbSNEIneRZT7p9SCcsEwMwflw8vem1nZ2y2mV2LlMNN/IP6fbuk9yl0OP6VxxtRe4KdrTCugA7O4T/8NpiD33yzudwH8Z/bLewbBzCDhIcEc4aRkZi6M/+Mu71HuMt6b6T8Q/48Nl1k8xCzuKsLMYBYH3W8NeOUzJe7/+hiQ2q6dDhmstaMhq71sVAr/6/c+0cPfi4GtFhoisAB+byMS+bcvBiQwtFWt5yVko5hFO4PcoBVmFngTbgIDv8JApYSGjEAiLs1O2u/WDKV9ewkPhcsNQDUFfrnKK1fhCdixGJCRWQ+cZWVlQVuovXv3djYmM3Oqa2Kcduz4VPXaKyw0xPRSYXWYSzPT888/D4EEh85pKFzxxcXxI7giPOURBEhQWOBPuDsGA2bmbAyyL2jtrDV0sF4PXDPbMY37O9T6F+hjhYSGmD1gfmkUEhqvvvoqPv/8c3cyT3gILMEiPAkOpVc+pZdQkUAxSxCjcJWABAb+zBiokNAwM+40ehssu3r7k06jaeuxoLAQekmNji7rASidbNPhrrk6Gr52LVauWuXecaBz+hImSFwJDCQw8KfGQIWEhg6i6BSbmTnBoTMWkeQkZC9dio8++RgjXnkZb7z9P8ycNRM6Nn7/Aw/g0ccew8zZs6DToPfcey8+ZjppG0hcCQwkMPCnxkDFhAZXFR739M0MWn6EwmEkp6aioLgIM+fNxXc/jsfrb7+Fl7lk8SNh6AUn8xcvwqLsbKzIWYWU9FR07NwZ4UgEiSuBgQpjIJGwSmKgYkKDTae8gI6e0usER3paGho3boKLL7oYesqwS+cu0ANqderVg06IFpcUQ68i07sd6zdogC5duzotRfkTkMBAAgN/Xgx4FW16LAbIsGlmiMai0DsJkqg5pFdPh4yg2rpTfIxxer6kZYuW7n0JWp7oGRItaSpaVyJdAgMJDFRdDFRYaFBkwA+F4HZFolFES0qgh7T0SLyeXJxLw6eERfXqGe64sPb+9aSkztPvvHM3+J7vhE7VRUWiZX9GDMQ4mwXwZ2z/n7HNFRca1DDUQRlEJTxq16njBIh78c3oMUhLTXNvqNZDaXqHRetWrbDzLjujnd7b0LI1zDOYqYQEbBMM/A0LlWFdj9tr5047c5rQ/oZo2O5drrDQMCPHU6pLY0irlrrhpS461KUThieccAI6deoEvfQ3JycHCxYucJ1p04oCg3kN/LMKV+fyJv4lMLA5DOj8z/Tp06Hj8IHQkNaxuTyJuN+PgYpzMW0arjoKAD3O3oW7IXq92LnnnIPjjj0OWpoUFhVC73t8/fXX8emnn7n3T+jVbhrIGG0dXJ+4IhL/Ehj4IzCgE63t27eH3nYlu5qZ/RHFJsrYAgYqLjRYkFFT0LD4vg/jX8gPQS+20bsIwgxDNOa+9qWDXHrZ7EH9+kGv95M9xGN6M0PiSmDgj8KA6LB69erQG8Q8z4PALEFjfxR+f6sc77cifh1OVaN0POR4HBy90CNEYRDhgOnFJhlp6dhnr73xz6uuxpmDTkP71m3cC0kink9DqPfrIndUSKLevwQGzMzt3OnFOGYGM/tL9Kuqd6LinFw6IGbxgZHQ0IEv3/OgEP1XmLZWa9eq5aS/mTlhYaYUSFwJDGwzDJglaGybIbdcwV65+991a2Ywi8PvKiiROYGBBAaqLAb+UKGxrXoZ465NANuqjkS5m8eA8K8UgSt/AJsKC+ISbuUwsClcKkxQuZK2XeotC41tV/cWSxai9Gi9QFtqchW2xYyJBH84BnQGQrgXqHC5giBcYZWBIK/yB6Cw8lCZMv/MadVvnTeZMmWK+4rehAkToI8paVtZcepb4Mq/I6HKCw19W0Vfmxo9ejT0dauyn9nbkYjbXnWLUDYF26t+1aP6A9fMEDB5EFbWlb+ioHKDsgJXE4P8iqtoOX+FdOqzvq6mr7aNHDkS+p6rXsmoM0/ChcDMqkRXq7TQ0GsFP/roIwwePNh9p1Pf3hQSqwTmtnMjRDQiLIH8gu3VBNVlZu6bJ9L49NyRmFv+8m1QWsXJLR9X/l59ESi9ypKrNMorkP/vBNo+1tf1+vTp4z5CrddM6P00VQkXGq8qLTT0tmx9tU3axS677IK9997bfUTp70RI6qsGqrikBAIxlp75iZbaeRS/PUCEq3bow8cff/wxpP3pu7l6R6zCgzYE6eQGYZtyJST0HVeV8cknn+CLL7+Evsqn/m0p76bK+/OGbWy5vlrXtm1b9OzZE/qqn1lcUAcpdjReVL/Gp0oLDc1oer5Ax9Q7d+4Mnf7T07QBEuWKeUpiURRF41BI5ioiFPO+OFoCxceYMAB6N/kTQgLil3+TiUoDFb8+Px/zFizAnHlzMWvuHMxftBDLV61CQXGxa4vaVJp8k47KKGEblU6guhVWNrHaXEzhsHj5Mnzx1Vi8+8EofPDJx/h89JeYPnsWctevRwnjg3yBW7aMP8JvZm5XTATz+Rdf4OGHH8YjjzyCIUOGYNmyZXpHk4tXXWYG3/c33OM3LpU1efJkp0Xec9+97qVN333/vStLY/Yb2f6ywTqYJgg6GNCDmbmgbTW2rvBK/DMzVFmhISRpFpMhSMjcFCGKqQqKijBt5kyM/vorfPT5Z/iEMJoMpreGrcldRyYucoIjCiAAen/xEwFr5lOd0mrk/0WCcjci6kVLl+Cl117BE0OfxvAXX8DIV1/Bq2+8jinTpmJ9YT4kEFw2NXIToLokeJYsW46Vq3Kc6q+wsnlUj4ThwuxsvPzaq7jr/nvx9PBnMYz1DX/xeYz99huovQGBubzb4J/aIdxJGM+dNw9LKcTmUFiuXrsGeqSgbJVm9tsnM8vgIRaNYVXOKvd2twWLFmHd+jwkp1aDFwrB830nPBw+yuTBX/wyMydwwUt919F4HVwT/ZvZFgUxs23Tn5m5l1JXWaGh3gthEhZa6+nQmBDpqEmRpVBSUowxY8dg8H8fx5NPP4VPP/sUb7/9NoYNH46xFB5rc3NRwrQB7dH7q5/KlaAooYby2muvQWrzrxKVDeDsXpBfgEmTJuOjjz9C7rp1yFufj9Fsx8uvvIIFCxZufMzGmHETYJ5HYbEKX3zxOcb/ON4JGTMmVEOZxf1Yj09PnRo1kZGaCo+M1qVDJ/TebTfMnz0Hr738MmbOmAG1XX1g0m32U/l51GzmUKvaqUMHNGjYEJk1aqBmrVrsa8xBZSqXsFu4cBH8cBj6PKfKqd+gAeAZjMAC+SuLDPylLzP2m6BOCtdyfQpPCQzdm5mCqgRUaaGRkpLiJG9aWhr0mTrNqOWx5vshN0trl6Ummatv333Qc9dd8eOEH/HCC89jIZcQevdH+Xxl780MGhwJjWeeeQYLFy7E5i4jUUeSk5CclISGDRrixBNPxAnHH4/de/WCVGwJqyiXTJsrQ3E5nGklMALGV//IfiC3ODAKCeMSRsIiVlSCFk2auWP6A444Cj267YzF8xdgzuzZkDamtou4VO62AGk8+tJ5565dMPC447Dr7r2Q1bw5oqTlQgpu0K1wvUxbWFyEJI7v3jT69T/0UHTt1s0JoHjfAaNQ1ZjgF9df/0ZjKDoIJgIzg5m5jivOeXbwvyotNCRpBbJrCInClZhKyBM4AmNgQUGhEyp77LEHunbpjAP3PwC79uiJmTNnYS7VaeVX+l/kZT4NjsIVL7+YT/eaBbU0kiFWcQpjclbnSuDMXoJlS5di9pzZaJaVhaymzRzBt2vXDsVcLulx7Si1BNkbAgjutZzKWbMai5ZkY+ny5cjLWw/Vo/L0iHfu2lyoLTEKC4E0qyWLF2PJosVoQgFVv05d6CHBGtUz4cGgvX21Ue3bFqC2xPtQgtT0dBxPAbnb7ruj/2GHof/hh8E8LiVI0+qf8CT4rXbEsReD0taoVRMHHtQPpwwahFMJRx51JBo0qE9hCRfPIn+rmEqHqw9BJrVPICFbNjyI356u2lEWVLfu1a6y7VNYAEqzo8Hb0Q3YXP1iYiFQ7+wQY5gZ2cR+kUVx87i+loG0ZcsWSE5JRigcQqPGjR2TSwAUcVaLyihKRpStQWUKJIi0O6P98Pfffx/6lovCPvjgA7zxxhsOdDZEYRpEDVy0JOpmdh280dKn/U7toRlRccVFxTAzeL6PYtZXRIgzXBTF1DxknF2YvRhvvfM2hjw9BP97+3+YPn0avvvuO7z00kvQ0mjylMkUSsWIsa0sDLoW0siay2VWk6ZNUINLAoWpbrVLSzjVLVCf5Cr+94DKCUB1aNcG1K60lKhVpw6SqqWgUZMmaLfTTnDhoTDbG0NQd+CWbYPCVGYJ+yUIU0tr3LQpmjXPQu16dV15SQwrEc6ouahO5Slbxtb4VafKCdzAr3uB7rem3N+bR3WXB5VpZhz2OIiuFKY2CsxMtzscqrzQkODQ0kTMYRZHmv6b8T9h0eJFXE4sQosWLVCrZi14mvmo1uuNTj6Zt3r1dIZ5iDJMiI+SeUneGxCvbT4JjC+55ffVV19B++ISCBMnToS2FxdweSOBoQxm5hhDuzp6b4jsLJ07dYZRlc7nen8WdzTkb0KGUp5cGvcKigsRFxycQVmI1PLVa9eioLAIxj+9XkDMEo5E3BObvuczFWBm0JWXv547M4tQYjHUb9QIEQrFNblrsZiaipi3JmeOFEUsAAAQAElEQVRsfeVuzpw51FryXPuU7/eA2i5cSWAI/xJQ67hbVCRmJtNLWxJTa1lSQIEs1+GV2pWZbWh72TaovBLiPl5GCQq5y5RfWAgZg9cX5DtD6BoKxnV566AJImhD2TK2xq96lU+uyoyy/fJ7nrfJdirt9gC1Qe2RaxbHmfxqn+hBS3IzI91GXTvN4mm2R9u2VIe3pQQ7Mt4n05sZhEQJjnhbZBwzxxyalfS1N6noHTrshIzMDBC10DtLdQy3OdfcWVnNsWb1augDTloGuIGiAFFZIpw2bdqgf//+OIzq9rHHHgvZUQ455BAMGDAAuu/RowfMDLrM4vVKIMlmope/NM/Kgg6hyabyzbffon69emhKofE/GmOHPP003v/wA27FruQqI4Yo/9enAfHIo47GhRddhONoG+jYiYbN3r1x5pln4uSTT0bnLp0hQQKwLla7dOUKzKIm5dOGklYjA9JU3hn1PqbPnY2OXbugkMuht956y50gnDp1qmM4uOv3/xPz6nDd09whemb4MAwZ9gyNzUMwdNizeJJhjz/5hPO/OOJFSMiK4AUi/vK160NaM2bMxMuvvIoXmP6ZZ5/BE089iUf/OxiP0Yg9+In/4qmnnsIzQ5/Fh6M+wHJu5ZYvY2vuzYjE0oxqlyYFaadqp9nGuNIk28VROwJw9EhhW7Zi0aVAQlvxZgYzK5tkh/q931O72LcsqCwho6wr/xaBSFM+Qdm0EhY+t+BURxCuNMGslpeXB+31F3O2a1C/AWLFUUydMgUjqepr5u934IFoRIv8t998i+HDhmH6z9MQ4/JC2oDKMzM0pYq8/377Y3eu03elAVVLDGkt2iHQQZtGnN01gGqDCE3nEj7njoeEUIxCYOrPP2MUmfhNMi5v8Y/D/+GMo4toTJ0yeTLepfCYM2uWqoOxn2EabqvTNiCoRkNgKlX9lORk+J7vCMO5XAqANKJvx4z65CNM5DbuEhpNP/tqDEb+7w18+OXnaNa6FQ7sfwi0XIixH1998w1msh4Rmqus7D81flNQNk0ZvxkFFtuqIAnlF154AUOefBJffv455tNGJJhDrWrunLn49puv3dLq7XfecW+oF46UrzwoPJva0Zv/exP3PXA/RnLnRy+jXrF8BVYSVq/KwRJuLX/O3a8XuKWscdVYCw9ly1I5LpyB8ktgC8Rcug/iGO1+ZgazeH+kHb7++uuQVlZALSeewP13k1C0tM/xkM3/d+isRPqgtKB9avO06dOgQ3JaQqv9ihOtSYtTvMKCfFXJ3WqhIQS7dbpUTqp8UjuDQVPng07KLwjuf+US8YqPcrvT5WcCDQhHGkJeMde4Ul9lHxBzlDC9YPnKlfiEBPY1mWXlipX4/tvv8A4Z9A0Sxfq1uTiSzLvv3n1QLSkFRs1izBdfYCEJXozrex6LN7dsIUnB9z14JKxCGlR1Ek/74xJWTCQ5gMAvlVqHuKZOm4Zm1DBqZNbA+PHjHbNqGXQcNZW+fftCGs7xxx6HIw89DEnmu61SjziKsN4kQjIFR8Q81Kiege5dd0arFi1hAHyP7SCYGUB37bpcrCbsRO2jZ6/dEGVYMrdeDzjoIBx7wvFo1a4NOu+8M7r17I70zAx3JqWE9bCojT/2nRwB1xH5KTSjxSWI0Y1RyILuxsQbfWYGLQkPPvhg9OauUJIXQsc27XDJeRfg0vMvwFWXXIZrr7gS5591Dg7cdz+szslxBl2zOINqTDeWBrf0atW6NYXzHoiEI6hfty5OGHgs/nn5lbj6sitwzeVX4EqWKbxpmblk6dKNWpPFSxITBaBlk5aPsgPJBrWcRuV4ql//F11pCae0ylPCJEZcio5KiBNpQUWkvxLiTsDozf6ionmmV7miUddXEW0ZkE3KxXMZpjYrje7lmhFH7NOSpcscDY/5+mu4JR7DpI26NjCN8G/GwM22ZvtHeltTZYCbKBlYW3FiaCE9SmSqPCEmAN1vCVza0kRRugFocMU8MeJNAxzzjIxjiBGRq7munzlrNho2bIBevXZDmBqJtIuWXJIcT7W/P5cYehlQUiSMzp06Qkd0tbPBosigBrNSYJlm5taOSUkRnHfeec4+YmauHtUVB0DbizVr18Z++++Ps844E8dwCbNrz544/PDD3barjv/KzpFEg14kHMYazp7a7WjB3RUfBt88hDyf4PEOqE0bTK9evaDvwrA6mBkBgGcAf00bN8ExRxyJi885F5eeez7OP+1MDDruRBzR7xC0adYc1cJJ0FgkV0tFtfQ0ZC9ZgjzaUfCLiwWV3gvPYq7x48chl/iLcbxE3KXRGxyfy0LdiGiliQ0ccAxqZmRi0oSfsIg2HvWpXu06kNu1U2cczTbu06ev28FSvhjpQm5ZMDNnc+rNHa5uXbpiKbWKybQbeUyUXq0a0lOqoR6NrHvvtReOPuootKGAYdTGnxH/ZGqVLeaT3UnLslGjRrnj59I6Fb4xQ9yn9ILPqSX99NNP6MX6m2VlIUQbksZVzJpfVIj1hQUQ3ZUQJ/Gcv/2/hIJ29do1GMdtfQkvGcd/kZr9V1skLKT5KY0gSKM40UirNq1Ro1YtfDlmNPQ1QrUnSjwZJ7Ekap+ipWAsgrxVwdWYVbodHD+3tbiUklKq3kIaI4WIKKW2ntSTUfELzuxS5TVgZmRAInJTFYnowXij5BcojcIEZgYhzchs0KVAuiqzJncR9CU32QLOIVOdTHvAwIEDccQRR6B127buzWFgmQJZ/VVOfgEJg+3QsoLFbPiZRzSwLg1Urz16oXpGhmNGVbcB6FEZjRs3Rt8+fdxZkJ49eqJLly5o3bIVMjMz4Yd8J3y0dTrqg1HQMxoy9C0tXZ+bCXPxas3MpRdhaMfH832AYawGwSVGyqrXEFl16qNBRk3UTc9ARlIyUpguOWawwmKI8WbNmsluekjhUsc8lhMUIJddizF91IBiGlOnzaZd4fXXsHTVCt4DJSRQJSsPZszAQAkOHeHfhxqUzq9oV2nVqlVsqlGBiUFaWaOGjbDX3ntDxjtmcT+zeH53w3/ql+f7Tgvbb7/9aKdKxqeffopJFBxlBZceGdA3c7p27bpBCDG7+5nF65RdQk+D/vjjj9AzSQcccAAyOGZiUpewzD+FSaAovc/6tfQUzlHaPNlttHv1He1RhRQepcFlSvi1l3qae4H20888g7Xr1jlaKZsqxkLU3yiFnOxt+mDY9OnTYcYIJoySBgFDzZo10YY2NS1PZBMiQvmLORqSvc4j/arN4GUW7zu9O/xHkqp8G2JEUx53C2T4e5LGLBnCFixcwA5H3TsApAaKILRNqNLF5HLLg8oRcs0MZgb+w6YuIU+vFownUTqQQNPRtk1bztI7oTlnjnp16znCEeML0fFy46XN5+y4ju2dM3cutHuhOEE8FuwNYBwgDaZccqALQ7kr3gaDT63GzCsVaGwP4pfCRKRLqVpPnDjJ7QgUkBAX0L6hslWnQKmdawZzWoUBRqJAmYtBSiMADIwmyPWIZzjCElGKgZYsXYLWrVqj+y5cplDjiOeBu9zsaaCAiDnIycvFwuVL6Ad3ZOLgEpb7Z8ZMDJPQkHFYhuLa1LK++fYb6CEzRm34uTScGX0ypRsr4nJDZKnHLF5eNWoV3bt3h57mlLD7+JNPsHzF8tK+mcOpypMwMovnQellZm4JJK3hf//7H4TnOtROGtBulcplm5kRN2V7D1eutBKd8lVaCXe1UTSpnZovqIE8PXQoPvzoI2h5ii1cyieez6FxXdvjhTREw41hmYxsgtJJGMiQPHz4cHz//fduzBTORvIXRYjaaF0u09RX2VuYDYzYSHtluu/ylaliR3q3SmioVyKQZFr0Z8yciQ9o7ZZBR8hU5wRChmYNdU73IvBiSl5J6TgAJcSS1EF3z8zyM0hZHMRYkfKZxbGncoRUM97z5+5dSt7IVWbGaVZ1SxmGyW/UALr37ImmzbNgJOyoyiWo3mLVS79mhyjTqwjVq7JLaE+REJCKKTfKe81Muo9RmS1RXq5ti0uKIRVV4WqvmGt/zn4nnXoKDj60P1q0agmpwRIgBSQyqcPabhSsp0HOudSC1nK7MYfbsau59ShYw6XGmqICrCxYhwUrl2P6ovmYQZi9dDEW5azA8tzVqNewPnr33hMHHXwQhHNtB6utar/apCPuC2mA1C7MqjWrsZZbuIVscy6F6LJVKyHbkNb0Sh8A0eCYTcwlv9xmzZphr732hA6ffcgdoRzaMIg26FI+o6BQOt2blY6HbgIgrsgRkOBVOyU4pB3opTMzuatiZk5gmBlUjpm5NqDMZWYc/pjbCp89e7abqVWGmUGCxiwev6H/pDeVpW1zaRuqNxwOsYyoY2AJidfeeB2yS4lWRdOstEyNca/GVGOr3Tct75ZRyOVybLQsX7w0GytopNakVEz6iHJ5I3wIpGlLM5OWobIVphJVntChtqVXrw49JqG0MsKbcVJgu4uKilFM25PSVzXYOqHBwdHsk0VCSufMptnu2+++4zo5lwMSc4MplVazihAlWMedjuXcPly6YoVbv82cMxtTpv2MSdzt+GnSJMxdMA9S5WMBJRJTJBuYGZFHBJIxRQxCZNxlGI1MGgAxdz73+vPIdKvXrCEjrMBqMt8yGksXLl7sDnz17LWrW7bM4A6D6pwweRLG/TQB3/04Dj9wjf/lV2Mx5uuxGD12rHueRM+waHnx4Ucf4v1R72HESyPwyquvcqdgBF548UV38OsNEpzCRnC3ZuTLIzFixAgMf/45pn8f02dMx9x5813/Xv/fW3jo0Ufw6ODBePixR3H/ww/hvgcfwL3cRbjn/vtw30MP4O7778Wd99yNu+67BwoT3Hn/Pbj9gXtw64P34daH7sMdjzDd4IdxF+Gexx/FfYMfxTDWp1n39TfewOPculTbNLMWEzfCpWbxka+MxP2s7+577sGbb76J2cTB4McH437W/wjbs5xjQnS7sZNrZnIc7s3MuZoV9+Mukwh8ATUn2Y+UiLHMF6UwoK80rcJ/BQaWQ3KjmxSJQAfxOnbs5MZWWitKLzODmElgxsT45SW6E11pKdSbW9X6QJeWG6IxpQxc0YhoQ/cSGLIpaDkQiSSRwmJsC8vmbxmX2NJA9txzTyd4YmRYlVMWhEuV9w53iO666y7ce9+9eJHjvYq09ijxeNe997it6EXZixGlNIhxGaj8yqPtXT2dLXuX2qJwM2Mf4yANKSMzw+08radAB1snepbNaS3L1ySF0suMDS7170iHo1jZ6uPpNbtK6kpg1KlXF9o+++GHHyCbhlI0o0DRwMsv5C3g8uXtd9/FiJEvYQQRridC3+VWpUBnGcTIjnhiyhEHEYcMRkVU8UUAHGkOStTNNMOGDXOPZ4v4n+R24NNPP41nnn0WzzJ8KN1nhj2L57l1N2LkSLz93nsYx/Xvh9y+fO+D9/H+xxQEnC3f+2AU3mMbPvzkY3xGG8yXY8ZgLLcQv/3ue8hoNpHrurfBIgAAEABJREFUbW39aTaU+ih3xowZjul0P4Mz5Nw5cyDQFmz2kmxoBs7NXQcdiMqjINMsXlhSDO285JIocinYBOsL8yFtyLTUoSbkEWR7CSdF4CeF4UfC8HxfNARt09bKrIEmtB00adAIDerUQ+3MmqhDQ2r9uvVpYKyJ6unpTlinp6U75IlAPRKZtnXr1qqDzPTqCHs+kvwQRHpJoTAyuXtTk7YAz4vP0PiNq+w4akx6dO+BGjVqkrw5WCxM2sNvZN0QbGbsj+fqBv8bIUz1XIbWrKwsCp54WdjMpT6JgaVNSXjJHiBBYGYul5nBzJxf6Yqo1YluREPKKzpUJPkaSiVhItAE17hRYxjxoPhNgZk5oSKNRstTp8EyvQSWz3HSeJdQ4JRQ0wBLV71qp+Jld9GOmtog4SU7B5HHVKV4Z9d1armQxlh6qXGFaPNJYjHxeDO1FlXm8ra2Jevz1mMOGaZBg4YYcNTRSOaOgWZeGZU0oOkkYiFOAyVXqpeEzOy5czCTWoZOcq6keryCsIwz3VJumUn9M9uIIA22CKuE1moh3Pc8bCDg4mIUEMkiDlKcG1DNQqo3jXVX4xo3o0Ym6jeojxbcUWlFY2VLbm12orW/Y8eO7hOSMmJ223lnGtO6Y0/OWpq5eu3eC/vss48zdsrdb999ceAB/TDg6AH4B3dJjuFOwjHHHIPDDzsMhx16KA2vR0IHwY466ihn9de263HHH4fjjz8Bx3Hb9cSTTsbZZ52Ns88+G6efdjrO4K7L2Wefg3POPRfnnXseLuT25QXnnY8LL7gQF114IS7gvcLP527JpedfiKvPvwhXnXMBrjz7fFx2xjm4aNAZuOT0s3Axd1IuOuNsnMeyzzrzLJxHY/D5LEftqMd1svAk5qhF5j6SbT3n9DNwEbdL+/c7iEKnLk7iDtMFbMdpp5wCpREdmMVxL1zrPgDdiwG0U6Gl1xH/+Ic7BGcWJ2rIDRL/pmswF2fIo+DU+ZZVOTlcWvVG48aNOIQxgkvwm//UDgnlldQgdX6mYcOGjh50luQbbr1LxRe9SVhIqGsSE4NKsIg2dABvPZcVHtsLwiwurYN4zydtMcwjjZVvgMIEfWkMvviSi3H++eejX79+iJDmBw06Dedz7E466UTUrVcPKlf0rnMWWpZIKKmtZob1XBKKPz6hHUfxRgkhjU0Tr7Qvz/MhTSfs+0hPS0My7UTgpX7TqTK/CgsNNVyqVwkpUW7uulxoELqQCffZuw92atceshLrFWUbLNTspsdBMDNEOHNWIxI029XgbFi3Vm1k0q1eLQ01OAsmc+aLExUzlf6kppV6EdQfMg9tWrbEQDLuWWSEQdw1OfH4E3ACmeC4YwZi4IABOH7gsTiOzK2nQXVeQ3D4If1xxKGHo9+++2PfvfpiP24R7t93Xxywz77ou9fe2Gv33thjt17o1WNX9KShTv3q2rkz5HamkOncoYPzd+rQER132gkdCG25Ldiwfn3UZl9qkjkFdevUhT4a5RFPJQWFSOZsWpMzeu2MTNSlZlCPaetzu7Jezdqu3xmpaRAOlKcG09XgDkmNtOrIpOCrWT0TtQXET0ZKKqonV0N1bk1mENKTUpAaSUI1Em4qIY0GxrSUak54azYM8O6TEFO445LObdmamRmQm86yUpOrITUlBWkMV3ozI73HQbgOQAyg7XQZQCdyGXnggQeiGYXwBhWcM2sJQaq1hL7SB2MWuOSN+PgxQGnnzp+H73/4Ho2bNEYP2pq0ZGDl1CJj0JhrmbpmrY7aF0LlaQYXzakcTTJruF3cuEkT1KJhtpj2mVm0byzgkknCQkJDTKjTsdrlYZXQjpdO70qo6JUGTmhQK5j000TEOPlkL1yEItqUdHZFAmn+okXuzMs8GtCLqCUKlz4ZWVpW3dp1nZaXHklGGAbRce3MTDSs39CdP9GWullcQOhMiIyhMtiqHypbu4qzOdlKOAjy1uZi3Zq13G6ui3ROdB7LFBBhULzyaSzUj6oCXkUbogGT4aeEzCBEruC223IahMQ4dTh4O3frxnVtvLiWZGoRopAdgA7s7Mz9+X3JoGLU/fbug76998L+ZN4DObPvussuVLdr/rI5rFT5RQgCSWbfMySTWXRuoA73uGtSbc+kMUlMJ6RXJxNkUhhlUlLLn0aGcYxFgZVKSOJyIOJ5iJiPJE8QQpiCyAcQ4oBFGCbB5PHe571zSQS+5yFUCj7TS73UuvOTTz/BkKeewrPcfvuClvh1NGLOnj0Lz3GZ9OJzz2E6bTZGTcljX0IsxwHLVV0+gAB0Lyh7L7+ZwVifGV3P4LENZgbw59H16VF75bp7hgVpzDN4AoaF2e8QCb8Jt4wP2H9/Crpa8NVXLlfAy4wF0tVPRCpiFc4F2UuW4EUuKzt364rdqZFpWVVMQRHQg3YhxowZC832yitQOWUhSoQVR0uwjHatsdQKZIDtvddeqFm7FmKeh+JSupIt6tvvv4OWrPO5pC1iPcVkcOVVGdncmZLRuiEFThKF3hpueY6bMAHruPRLSkmG6tbEpffJSkuN0H4iTUNPIEurWEUtJSYDI8dEtLtv333QnbSnT4tqrN966394+PHH8O6HH+LBRx/BGo5njLgxM7e9bGZIIh5bNWmKIw7uj/TkFNKPwY0r43wB+6O6daJYJ42lnQmf0rS1i9OK/KH4EgqsHPKRBFbLrOaQcPc9Dz7LN46rtBFBWTxWBb9X0UZI0oMI0aBIrdQe+aqVq5zlN5mM2bJFC3TgjCyjkpAUlGtmJFzPrbd1EGr/fffDnnv0Ro9durvB6tmjB3butrM7FZlKhjdsvDRzaPlRSJuGXMWYeRBTbArMzMWJuT3z4OteAOMfNglCgMCAX8RjsxclAImcP/dci4yLY2kP8ViX8JOdvcQxkAxZ6dQkSMm/KLt8Xb91v6EJQYINARs9QVTgKsbMYGbybgAzc0K9GW1NUq0zMzOhFAJs4hKRC6RSf0Dbj7QMLf10CGnWzFnQ7P7ztGn4cfx46CnhN15/HbJnKY8ETfkihZf89fmYxK3oD8mQehBPh+2mTJlKXH2NMaNH49PPPsMrr72KZ4cPw3jaoCQoYiyohIJDuxM/T5+Or7nlm5qejhZcauqdJtIedBxbuw0+BaORYWdy2aHZXUsSMaAYdC8KKAkQzf7SiEQ/emzgpJNOcstM4YNVQRqVjsQ/RgPnz9N+RjE1jQBHZvTxp/KkWZ9w3PFx7YC0xmCHT5UhUN377rsvTuHyTztFol8JDGlBmlSVRlqIllZKq6VyUIZc4Uv2D/GA0upeblUA8UuF2qGO+B5nBEpHzaSfc1ZVp9bn5bn89aima20vgkzjLG9mMCtd87oUgAbKzNydmW24V7jALB6H0iuP608RbSQccTYLRQtKo3eYYzB45rkDZM2bt4AMWDoQ1pFCU4OstbJsKMJHc6ryKL12xMAHdZqx1QTZibRNKU1QzRKTyy0LyhPAGApD7QqVFBbhow8+wOPcbRlMeOTBh/DIQw/hsccew4gXR0BMGjBD2bLi/hgkSObNnYv333sX03/+GbNpRB5K4/V/yZxPPzUEQ4Y8hacIL3IHSpqCXgFQmwZcl5+SQ4LgRe5a6UHEdm3aQsJPNCOmy6W2UZfG+FQu0aTSZ2dno1GjRtCSRAyuMjpwebnbbrtBGohsDWqPmFWPDUgYSrho+bCCmogYfBoFhuJCXDaDeFMZAQg3bqlC21FIgqpcvNIpXIKoBSdT2fhk21BbFa5zJapf7ZAQk8DIyspSNgcqX6CxCuwaLqKK/Ku40HCIMac61atbH4fSCKhTmHoM3AAabtIhTULSW51l0IafmUEDbBZ3Az94mSk3PZv4GeJ/GtwI1UzdbSLZdg8iDbs6pe5Xl70hI9MZrUqoRv9EVVknJw+ioUyEKqIVQboMO+ifmbmaA7ybmRsP3Ys4Ue4yMxevONkFmmdlYY9evbjuroPqXPpFuKTR+l/LxDBV6QacMDSTi/CVB7wCl143iiI0qePKv/eeezlNszZtPJkZGWjYoAEak8mzmmWhK5ewBx9yiHs0oFpqNSppMUSpaUjQaXv1qCOPQh8uaTMzM2Bmzlam9km7FUMuo0FdAkx0qTxm8b6L+fQcjbY+5ZewVHqNjZlB9xL4DWjMbNWqpTup2YxamSYsNkLd2ABm5vCj/MKhWbwOlF5m5vhEZQfxKluCQoJVAkf4UX71SbgTfStMAF7KKz5SGt66vsqtCuBVtBFmccSoE0JmfxoW9+NSownXduqg1szac5aWoXuVa2YOuQHizMx13uzXLjZxRbj9GAqH3B62dl9iXBfrt4mk2z1Igyvh4drkao9BFvsvRn8JrZ+7devmCEd9F5jF++ySbsd/ZvaL2szMjYmZubFQ21DuUphAY92LwuJi7uqce9Y58R0a7fqccw4uPO98XEC/3LPPPNO9XkBjr6LMjHwm7OguDiEKmhYUCjJSn8udpLPOOAPnnnUWzj7jTJx52uk4k0btM06ny/sTTzgRHWhwVhuM2UVPMmb2J80dzh2sZlnNEAqH4XseOnbqRKP4QGRlZeGHcePw3PDh7mXLrVq1gjQIlRGA0uhkqzQIMaTCzQwqX34d8NKrGy+64CJceOFF0G6JhD4RhbKX0gqUz8wYbWWjnV/xwp+ZuXhpG9qNk+BSmQLZPPbbbz9I8zAzl0//zMzlKe/XfVWACguN8o01i3dMyBGYmSPGAJFBGH7HxRqcWqvtPknp31HUH56V3XWMoRkkJycHc+fOw0cffUgDY213RFqzWdlKzazs7Q71m9kGotQ4lW+MmbkgxekcxU7td4J2kLp07IT2XBpoPd+J6r4etOvWuYvbVWrE7U8zczRgZhvKR+kle08GDdYyArbh9ndr2iTacPepTavWUFhrhslt2bIFVJbDH41GxiWxaEqgMNnPfM+HlodmHupwJ0qHp2TsZK3QskY7PNLyJBhUvZlBffGpFUn70ExflqHBy8zccrMb7Wu99+yNvjTU6xyI53swxlf2ZxbP5Xmeq1sTqrQKLWEVJqGh5YsEldpltjG9WdxvZjCLQ2Xr35bpvW1Z+O8tW8g1M9oMCqHDL2YGYhE7/oohSoKW9qO1qrYb16xZzZmtOvod2A+y75ixrTu+oVvdAjNzAltq+6YKkaZFqQmB/BLqsgXIL9hUHqU14k12B6Ux6A/8H4DhV5cUFuZRuNkv46Nctig8ztiGNm3b4Mgjj8RBBx0EGeTNfpleactD0D+zeFoxMOg30z1B9ZfPtBX3ZuaEh8o3i/tR7hJOBAo2M5RtmxnboogqABUWGmqyEm8KFLct+hLi0iSZOzNmRnqLEbZFLVtTpkF/JcVFWMYtQJ3YbN+2HfoffLA7SKZ1/qZKDQhiU3FVKUztFMFKg9IBqVhUuN80RBknY7gMpjJUyrgX5C/bpyjtPStXrMCMGTOwLncdhQ1jxZABEKOswYWvXbMGeur0nXfexeTJk9yDZIh2TqoAABAASURBVKI7UgHkBuCb53JJEPmkkdSUaqjJbXgtBQLmZC2b/ZnZhngzY3n4xa6bC9iQYus9wkmQW5Nh4A/cID5wlUY4kzAOwoK0O9r1KtMAJf4tsMoUVMG0YVqu/ZBPtTEFEa5hHUWVzjoVLGKbJROhyhgY5W5S00aNcVj//u7QVxIFnc5NaNDLVq6BF4gQ5ArKxm8H/yar2FQ7RKhqp84V6DCSth11JiOfW986Eq93qJRwHOQWc7bPLyx0T3Fq61VH7TdVZrSkBNncitaWq7Ya1RjVEWP+GAWKg5IojPe5q9dg/Pc/4PVXX8V3X3+DgvXrfyEsAhrU1roOC4Y8H2Hfh+95G3jcjCKGbVQ9mwMzg5m5JGbm/GHWFqFACs5emIv9ff/MDKIJs82XZhaPj7HtAo2FXAGqyOVVkXZsshnmEYH86fkNEZjBgFKkYgdebAWbYUhOSsIuXANfcP756L1Hb1TjTOeZBxGHV66dZubUTW1Tyw6yo5ov4hME9ZupN8Fd3BWuc3Nz3ftAzAzFZPjl1BJ0TkLnNPSFteWrVmLBwgUooWVa5yX0/IZya4vc9Z8MrHuB6tMJz5mzZkKCJyklBdnLlmLKz1MxecoUzJw9Gzprodf9acknu0NrGjKTwmFI65BAYTUw/qm8AIwe1eV7HszMge7N4n4zY4ot/8zM5VVK4z/vF6AQBvzOn1m8HLO4W744s43hwr/ALB4m/JVPvyPvhZ8dWf9m6y4qLIJAR38lOGJxHG42z/aKNDNu90WgnSQ9syKDlpk54jOLu+XbYmZxgUIix3a+RHgiRIH8m6tejKcDUDqEpXSa7XTa8/Y7bsfNN9+M66+/DjfeeCOGDRuGkuISCs9ktGzZEto9UdlmxqWk1h3KDedfsHgRPh87GmvX52FNXi5Gvvoybrr9Vtxy5x246bZboKd7P/rkY7dTpi127SjIqOlTg1B7VJLKlrs5MIvj3myju7n0VS3OLN5u9VVQ1dqn9nj6V1VBRkbNzNrDlrUbXD+TAqtEc83igyuillVfjLWlhon4lV6umW0p+R8SL8KToFD7ZKgU6H5LhesdFDrspENSoZBP1Mfcqw9k51jN5cP8+fOwYuWKeDHsi+rRjfqn8oN7hUWpauesXg29v6N6rZqIURAUM2L1unVYvjqHsAp6j4gmhgA30sY09mYVx5OZ/UJomxlr+XP9hDszc/3QmAmPZnEhLH9V6E2VFho6p6FtMwkMopGEG6WWunEG24YI3GLRZmwRQUyi9onYt5TJzHaIpmEWr7eibTUz9/ChBEx8tg9BR6GvuvIqXH755bjqqqtw9dXX4KSTTnbalohbx7llA5GwEcOLwAViAgl/LWvCycnc4Wjrnjc5mDagK6+6EldefRUuu+JKXHzJJejTp48rT/mys7OhQ3J6daIOmKkcbOFSvvKwhSxVJlrtDhojetJEpPuK9FvptidUWaERo3jQXrYMoXGGDISFbU/8bLYuM3Mzgpk5YYAKXGZWgVR/XBIzc20UDiU0BPJvrgYzgw5A7bPPPtAhKdln6terj1177oruu3SHDq712q0XunTuAlce0+vsg+waWqJIaKh8CRM9cDV//nzM4q5J3Vq10axxY1TjjlgzGo/1RPEeu/ZCL5bbc5ce0PdiVJ6ZQSc8dbrYnZXgck7MI1C5mwIx3aZgU2mrYpjaLnypjwK1UfRvFtcyzExBVQKqrNAQdmRUkz0jKSniiFNhVQd1as1fF3beeWeceuqpqF+/vhOIvue5MZDACYy9YnBhQMfps7Ky3BvZJWi0nBThS3jomZGXR47Egnnz0aNrN/dUaIjyP8Ly9JRxsudDoHuVa2ZOyElo6b0lenm0zlyoXjNTdZsFMV+QwGzL6YO0O9oVvnSIUQJWO1bjx4+HnspVuNqmfplVjf54alBVAqFFoDYJiXpJidbWS5YuwYoVK7HhIzdKkIBtggERqHYwmjdvHn+DFGvRmPwmkJh14lGCQ+DTZiEml6szEzvttJM7w7I7NQq3Hc3yfBg3NrEBzHgvoDAxM+gIuOwpeuhMWozKMzNs7lK7AzAzmNnmklepOOFKy0E9Pf7OO+9AyzKdclW/q1RD2Zg/QmiwmD/mpyFWgwQ+i0yJRKAHiFYuW46hTw3BfwcPhp6UZFTitw0xIEIVEZd1y46NxqcsmFlcG6GwkJYR5NXaXLsg0hb0Dk4tOVyZng8teVDmUvlm5hjdZznKq7QCMyuT8re9ZubaYWauHGyjKxBMcv+oKswMEo7S8PQ4/aWXXgo9EKpj/KpDeJBbFcCrCo0o3wZjgAdDZvUMHHH4P3AVDWWDTjkVBxxwgDsezOjEbxtiwEwjsLECM+NoYLMgoi4LZuYYWOtyPWMhzSEQBOYZwHiUu8yMwZsGlW1m5XJsvDUzBGnkYhtesj1o6SVXy4c/QniYmdPqJCR69OgBvVdU9hzhbVv3p7Ko8iqbYXumF8HpfQR60rIPLet6w5LU5u3ZhkRdFceA2UamNtvoVwlm5gSC/NsSzGxbFu/KFhNLG5Jr9sfVZ2YOR2ZxV5WZbfTrvipAlRYaGhSBZigJELlmVhXwlmjD3xgDZuaYWyj4I7QMlbM5qGpxVVpoBANi9stBUrigqiFzS+1RmwVbSpeIr9oYMIvTo9lGd3u1WPQTQEXrVPogbeCXKwjCK+NWaaFhZq4v6pxAN1pDCnSvNaVchVd1UDuDdgeuwqp6uxPt2zQGzMxpG2a26QTbIFR0I5oPoKL0o3RBXrkChW1tE6u00FDHBEHn5BfCtDUlfxD+Z3KDAZNrtv0I7s+Eo0RbN42BgObNzAms4H7TqeOhSmNmEN/IHw8F5BcNBveVcau80FBnzAzqoI4W60MzOqqs8PKIUFhVBg1UAGbmBq4qt/fP2La/aptFN+qbaF68YBYXHAr7LQjymMXT6lke5dWkqzzyB2l0X1Go0kLDzFw/1Dl59EKY0aNHu5Ny6qzC5SquqoMGTK+wX7RokRMWaregqrc70b6qgwG9ufytt95C8KKjitKP+ESHxfTpUn1FQE8wq1dmcf6SvzJQ5YWGmTlVTBJWmkZytRQkp6RAL4D5btw4TJo6BfqGhl4SU1BUhKKSEvfdVL0DQk9NuvuSYhRHS1BQWMD4YqeqCZEqU/vtm/NLKiu+MkhV2hhi7j0U+oar2pq7Pg9fffM1Rr7yMhZQcERjUSWrEIg4AqhQhkSiPz0GYuyBKKSEdCTa1lffRn30EeYtXIDkatVIxyXIzcvDnPnzoE+a5uXnYz3pO7+wEDNmz8JHn32Kd95/H+Mm/Iic3LVISU9DnXr1oG8o/zR5MvIK8t27UFhNpX9VWmioN2Ymx30HU0876jmE1Orp0Ne3Rn04CouyFzsE6itcQrA+rjyZguT78eMcUguLi5gmG2+98w6+HDsW2UuXQoJCherjPnpPxKeffgq9O0JLn3fffRdvvPEGJNH13ITSSbjIrQzEOOr6SLDeARLlwKdwoOs3bIj5ixZCH6HWgFMaVqhICQy1WdrK1giwClWSSFS1MEAC0liXRKPQW9ImTPyJk81C95Sw6F/vHrnuxutx5dVXQx8711PEEjITJk3Ek0OG4P4H7sftd96BW26/zX0CU8cVdu21GyIpyRj14QdYvnKlOwxXURosi5wqLzTEMGqwvky1Zu0aNGzYyB23ffOtN1FYWOTuk5KSncqvL7cP/u/jGDZ8OPSB4XxK3kmUqo888gj04V19VX7o0KFQWWLCjyi577//frz00kt46KGH8MADD+D555/HWAqXIUS8BInq1lkRuZWBGAWFNJ38/AL3YhnP96GDai1atMS0adORvSS7wuNlZkwbh8q0YUtpE/FVFwMxNk00RAdaTkycONE9MNi2XTvojXENGzVC06bNkJOzCvPmz4debi1emTt3DvRNmOOOOw56K7u+AaMv4a2jVlKnTl3ojWgTKYAUrtfTqPzKQpUWGkKCQJ3S0iTGXupI8qqcHEwn4+n7IvpQj5C7aOEi9yappUuW4qCD+rlvVugsv95bqc86/uMf/3DH0N8fNQr6gpfeUynhoK9unXPOOe4NXLI5HHnkkRg0aBD0mLfeJWFmqr7SoDdazZg+HSNfHgkNeIwzhtqj9q7LW4f58+Y7QVfRgnUCUbOF2da1p6L1JNJVDQxolA00lrM5okvRvx5gE03q+Z4WLVpA30zRd4fEE3rbmXilR/ceGDDgGNL6gdBTwnpKOS9vPbdLAM/30KZNWzfZiv4KuKTBVlxVWmioP2YmB9IihJwaNWtg2s8/uyVGQ6r7ScnJkN3h8y8+h95B2bdvX3Ts2AmZGRnIo3SdxfVdp44dKZWbQo9th0MhTCMzJyUlQdL46KOPhp7m1Hsf9HCVHqzSk5oXXXSRk9Sq3Mzc7o2WKVIZNThydS9/AAoT5HMwJCgeffRRjKKQyl68WMUgFA4jIzPTzRzSNoxE4SIq8M+MqUuhAskTSf7kGHCaBpcooi0JjNVrViODNO0mDs9DSnIK0lLTHF2KlvUeE8Vp+V63bl1IiIg+dZJaE1VScpLDiD46lUyemTtvLvJp13DSxMVU/J9X8aTbP6UYUKClhBCn76XKNjBz1izXGCFK8VK19OHe2bNmQ48Vv/DCC5gzdy5mzpiB7MXZEFIlndNSU6m6ZUJbtmbmXiajx68D24a+eKWBEVIloSWkPA6QKpM9JYcajtqh/IH0l1/51Ual0yCbmdvhmTtvHvRpwabNmiFKAtCgqny9N2LpsqWQoFKeLYFZQmBsCUd/tXhTh/hPb3EX3ekzEUmRiFuimBkXvzGEIiEnHKQ1awnje56L19fsimgQ1U5J0yZNoVcTxD8FQmFDm4Z4QUt9TbbYiqtKC42AYWWDEFJq1qgBredyVq0icjyIuaW2aytqwfwFXJYchCOOOAJ6kcngwYPxxptvIJeW40gkCWYcAUKt2rWpnhU6VIWodUjo6JsdKktf6lKYi+Q/M3P59Gbu++67j2rfAJx00kkOBg0a5Fwtba655hpXJ7O4nwZDUjwpKQK96Uov3Y2WyEwFttuPv9KOSy2f9SNxJTCwKQyU0h7nGoh25BqFghkFhm6YJ399PrXWXOidJVr6xoMN4E/bsgsWzHfL9BbNm3PSojmeO3YGz+0eavksTSSeB5W6qrTQUE/E1FqaSOXX+xj0mYBQOMQlSYlDpgTLfG47iVG7du0KvYKuL5coc6lpTJkyFfk0RCqNNIBwKCx8IpU7GSrXLD4Ak2ks1b2WJqrTjFiXpxQ0IHq3wS233IJ///vfzmB6zz334N5778Vtt92Gyy67DFIJ1QbVU8itX70vUxpFJy6Vkii0pCaqOLVFgs4P+ShXjaITkMDABgyIoWWHqF27FjWKZLfcFp2axelT2q1oqbCgAAWk8yiFQnFJMUTPw597Di2at4Delr+QW/zrcnOhXPlcOhdwg6BWzZoIb+WkVeWFhpm5r3JJrW/UuDF82gWqcZnoFd6sAAAGPUlEQVQhjUBIMvPQpGlTJHHNJiSKOTPS05HKNd9xxxyDNi1bYvGCBSguKMRS2hbmcGmjt0FFIhEncbWtqkNjTZo0QVZWlgvTwGwYOXpUlwxPekFKz549nbonraQjbSVS/fRqOq0hmRTKu3TJEnz37XdICocR9j33xS6f/fC4UC3k7BClUKmVmQmPbVeeBCQwUB4DmnxITNCbzurXrYf0amlYtXwFikg/oNaaT3vd9KlTGLYMY8d8gS+/+BTraPf4esyXeOTB+/Ht12Px3HPDcNUVV+CB++7F3NmzES0qRvbCOC+0pCE1nTYRCZLydW/pvsoLDQkCvek6LS0NeqWcJG+1tDTkFeYjN389iqLFaN2+PRpQoHxCY+joMaPx1htvoBmFQM8ePTGAhs4fx43HyBEj8PBDDyE1pRrE+BoUvYdRxkppBXofYyHXgRIQHtXA8ohTuASNQIJJ92XB93239DAzNyMsX7YMuWvWYiGXTcUUEiKAErrLKFB8CousZlmV2j0p357E/V8bA2JmgcduNqbBvwUntDW0qWlC0k5czooVWJK9EA0b1iatN0DOyiVYs3o5UpJ99OzRFUce0R8H7NsXe/TqhT577o2GDRpC5c2cMZPpm6AVhUYSJ04zhbKSSvzUpkokr1jSPzKVGFpGSL3BKIXLCiPDdezUicI2BgkTLQWkah1/wgnQB4vefudtCpc0DBw4ELIa79l7TwwYMAA6RivG1iv49YZtszhzy96gtFqaaI0nTUGwqT6YbRrBZhvDJXCksZx11lnQDswee+yBCDUOla3dHBlQpTVpS1dpN1VPIiyBAWFA9GFm0PK4E2lek9T8+fO54RFzb2s/ZsDRuOG663HTf/6DY48diHr16qBTp444lrR/2qBBOPPMM3HGGaejf//+EI/oEQa9g1STaYP6DaBLk6fcykCVFxpCkt5KLpuBbBEhagHtudfcrk1rzOF26trVq5EUCqPzTh1wDhn1umv/hQsvuAA6w5HEbVXta/fp08cxsL7Xoe93yOipAdEr1WSrOPXUU3EB80ibMTMoDpW8zMzlMzP3UlzVozMg2gJTeRIaMtjO4I5Ohw4d3GsLt2bAkLj+FhgwM5iZ66uZoUuXLu7YwIQJE5zRXTSVmpqOWrVqow6XLxkZNbhLmEIBk4q09Oqonp5BA2kGMqpnQHStnbrXX38dmVwW69MQ0to1iZrF63AVVfBflRcas7kWUwd1hkKvyle/UpKScXj/w7g+W4wJ4390HwhOSU5GJhFUh7sjQoxsDEKKtAYtJ2RhFsivcDOD0iitZv4gbmsZuWw+DaiWMSrfzNzgS8uQ0NABnX333Rdqh9IhcSUw8BsYMIvTjqI1+R100EHQJ0Djk55PuhKEaBsLw/ciMPiIRcXSBphHfwxG18wgWpOw0NkkGUfBS7xBp9I/1VDpTNsjg5hQyw9JVjG5mNrM4BPU6J3atsMxRx0NGYkMDCck0RoswSIEKY9cqXTyyw1A92Ja3Zf1g5fCzIy+yv3MDGbmBkf1li1Xfg26toO1RVu/fn2oHiSuBAa2gAEzg+hH9KKDWdKOG9LGoUkpHI4wjkLD80l3Pv1h0hXBjyDk0w1FGOYzznPar2x5WppruSP692mHw1Zc3lbk2W5ZpNJrl0KdlTagio3/PCJSbheu87p27kzLcjXI0OibB4Wb6T8T8mcW95vFXQa5n9nGezODmbnwbfVPgy6tRiC/2batb1v1I1HujsOAJqOA2c2MNOuxMT5BbgC6D8AYF/+ZmdNuJSjMjHktHrEV/1XTVmTbPllkD9DsvPvuu3OtVm1jR7mBrS5HaP3VXrMQITAzCLGoopeZbexDFW1jolkJDGwJA1VaaEgAaFki24D8WrIUc69ZW07SKjzzIACFiMJ0cg6xLXU5EZ/AQAIDvwcDVVZomBkkKARmBl3yR5Ii8Hwf5nvwuJMCRpkZPN8neNA9ElcCAwEGEu4fjgFy2R9e5jYvUMLCTNICMJNLQOJKYCCBge2BgT+l0NgeiEnUkcBAAgObxkBCaGwaL4nQBAYSGPgNDCSExm8g5m8ZnOh0AgMVwEBCaFQASYkkCQwkMLARAwmhsREXCV8CAwkMVAADCaFRASQlkiQwkMDARgz8PwAAAP//LFcWegAAAAZJREFUAwCR/j7xh7tqggAAAABJRU5ErkJggg=="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23</xdr:row>
      <xdr:rowOff>0</xdr:rowOff>
    </xdr:from>
    <xdr:ext cx="304800" cy="304800"/>
    <xdr:sp>
      <xdr:nvSpPr>
        <xdr:cNvPr descr="data:image/png;base64,iVBORw0KGgoAAAANSUhEUgAAAQ0AAABuCAYAAAA9BUZIAAAQAElEQVR4AexdB2BUxdb+zr27m4QkJPQOoYN0BRRFBSsq6rMgdsXee3v+z/KevXfFpyIKFsTus2EvgB1EmvRO6AFCSN39v282F2JESFAg6t7sycydPmfOOXPmzNx7vdjf8Yqy078XWMQWfxWpY3OFbCn/5vL+GeP+Sv3dUl8U/2ccI7bZQ+KquhgwNm1zwOjEL4GB7Y2BhNDY3hgvW58EQtn7v7v/74SPP3Ff/55CQwP2e6EiDL6JOmKI/0FxWygjxvjyQK0WJdEoSmJRyM8kG35RhguoQW4IK+tR+Obiy6bdUf6o61cUDj/CUVlAxa4t9fP34kDlCzbbmtJ2b7Ifitts5l9Gqq4AfhmzY+62WmioE0GT5Q8GQn6B7ktKSlBcXAz5FSYI8mxPt3y9RUVFKCwsREFBAdavX49itlNhapPaqjYrj9ovCO4VL4ZVWqVTnCDwB3nkChSuvHJ1r/qWLl2KRYsWYd26dSibV2kESi9QnKCQ+CuiMCiOxVBEhlq6cgXGfvsNvvn+e6zMWQW1Renz8vLw9ddf45NPPsGSJUtc/xSuMpRG7qRJk/Dqq6/ie+bNz8+H2qQ0qleg+7KgMNdn4kfh8itMeYIyVW4QpjRl7xUuUJhA+QQKU1pBWX9ubi5++OEHjB49GqtWrXL4Ub4o+650AuURyO/iiJvAVZtWr14N9fODDz7A3LlzHX6UXm0XrFixwpU/ceJECAfKo7LULkFQlvIEoHilEyj/hAkTMGXKFFe26Ed5lFfpBEE+hYvOFFbWr3ulUXsC0L3SCAK/8qrOZcuWufo0rqonCFc5Sq8wuboPQGUE/rKu0il9EB/UXxm3UkJDFW0KggrVIMXrPnA9L16FGh6EKX57glk50c7b6TOm45HHHsVtd96B1WvXwA+F3OwdY1pjm0Wonu+7sBISbQkZtrC4yAlAeOYI2swQ9C9wwUsDvZ5MWURmM99DlHnXUTiNJVP/+6abcMXVV2HUB6MQDB6zuPLK4ki4VP4oNRPVLbeQwu6rb77GLbffhvsffADTZ8507VO++fPnY+jQobjvvvscgYkBRVwqR/ESWC+++CJuv/12DB48GGIu1a941S/Q+AQQhMs1I8KYQOV4xI1PvMjVPYNd2+XqPshvFsdR2fxm5gRV2XTKpzwKmzVnDoY9NxwvjhiBmbNnQ/2VpqU0UY1BGQER5FG+wK903333HW644Qb861//wpdffukmBYUHMHnyZNxzzz145JFHIAGg/Gqj+iMI0gk3ZvH2SrhIKCvss88+w9lnn4077rjDTToh0o3ClVdlqS1qs9prxJXn+26MNIaeH/crXumCuuSaGcwMKkPtkas0EkqjRo3C3Xff7YSdaEt1mZmyOTAzR4fKI1A+uQL5BeCle5VtFh8b3QdxjK7wL87RFUiuws3iDRWSRJAiRCFUoM6tWbMGK1eudLNETk6Om/EUpoaWzV+B6v6QJKpT8KvC2I8vx47FyFdewYcffYzF2dkoipZwcIEou6hZvYTMWkxmNxKFGL+YBOs5vw+Yx5/nBliDaGYbGMfM3OCHwyE4RqemUMKwnDWrIYb/ftwPiCQlbShDBIDSKxhE4VdBnu8hZkBRSTHyqRmJEHfrtTs6dOyIug3qIzU9jfVGIe2ncePGOOuss/DPf/4TnTp1QlpaGtR3jZPwL0Y//fTT0aZNGySxfjNz7VS4+qA6BUqre+UVyG8WT2sWJ2qlU1vNzAk+M1NzHT6UR3UqQAzlkXGC9EEes3h6s3h+0Y/qbdasKU497XQMOuMMNG/ZAhby3bjkF1ErJKgcla+0qkOu7s3M9UXx7du3xy677IJatWohNTUVaoOZqTkOOnfujJtvvhlXXnmlS6MyVL/6KXp2ifhP+dRehUureO6555xmItyq7Nq1azMVnOBQH1WOC+A/tU3aayHHTTRQQoHHBReKYiUoLCnhWBa4MWPSDT/1o2wZuldkJBLB/vvvj6uuugp77rknyo6X0quNctV3pZfr6ifd6V5tMzNHC0Gc4s3M4UxpKgteZTKocapw2rRpGDlyJB5//HE3s/3nP/9x0v2666/HFVdc4fwXX3wxLrnkEnz11VcbiClKJixfn5O65QIVVi6oUrdCeJQD5dpLYtPAC9ZRhdeyADAce+yx6EjmSqmW4ph41aoc5BfkIz9/PWL80yynPKu4BFhNYVjEQSgg466lCr2W98uXL3fC0czIuCXQ4GhQlCefy56VLG/JkqVYszbXMZbCCtiWjp064tzzzsPB/Q8hAXgur+JyKGQFImDhWMI2j9pJfkEhFi5ajB9/+hGLl2QjOTkZDSgw1q5di8lTJuPbb7/F0tLlSMOGDdG6dWvHLGqL2vjNN9/go48+wrx581CvXj1k1siECF5MUcB2SuXVkkbjpCWBiFD5NEtLhVdb1CfwUpmKV9uUb+HChW6pJa1Fms2y5cugvMKx0moiUboFCxYgm4JZ4QrLYV9Vl+oP7tflrQOIS7WvVu1a8Cl0FbeUqvnUn3/GD+PGYQmXdprxpVVp+aFZX9qCytFk9dNPP+G9996D2qX6JRx9n0KebXc0QcGv9qsM4VljKjyqr++88w5+4pJF+ZSGWaC+qz+a5V9++WW33KlZsyaE5xkzZkDLFOFW/TEzR+eLFy/G99R2Jvw0AavYT41hDpdM8s+ePQfffvMt5hMfII2pjgDUPtWtsn5mf3/88Uc3ZsKrxkr1hsNhCJdjOeFJY1I/ZlMj0/hpKab7mdQ+1ZePP/4YaovGaiWXtMK/aOG1117D1KlTSef5TpAE9VfGrbDQUKcEGvj3338fL7zwgmOa6dOnO6IUkx122GHo2q0blpJ4li5bihAHPiW1GtETc5K1qCSKQgqOQg5ePlX9dYUFWLs+D+vIrAWUylq7F0VjWE81fB0ZNI9EvWZdHlaRUVeRSVbTX1BUjHwy0moy47q89cjPL6CqvYYaTg4KCouQS6afn70YM+bMxvcTfsTHn3+OKTOm4aepUzDi1VcIL2Px0iVsE9CpSxcsp2Y0dNizuOnWm/DY44+RuJc4YllHAfP6m2/gX9ddh8suvxzDOdNM/Xkq0wzmTHgaTj31VCcgNUgSGDERjQELWfYDjzyME04+EcefcDyuvfafEGNrACeQEKZNm46xX42FytcMJC1h/PjxuPSyS3HOuedg7NdfYQyJ4v+oXr9CQn2N2tD1/3ctrr3qatxC4TyBaVESw8yfp+GJx5/A9Tdc79r25ZgxOP+CC1jGuZhI28U4prv+hhvwMvM/PWQIbuHsKluKEwCeIb+kCOMm/oSTThuEO6muX3Dhhbj1ttvwHe0dl1x6Ce64807X7yeeetIJRI29+ikifvLJJ3HIIYegf//+GDRoEMTAb5PpjjjiSBxKGvi/f/0fZnOp4fpx3b9wJWfJk085he6V+PzLL1w9F3FS+ZoC7cWXXsIZ1JBeGvkyRhMvl11+GTQJaZnx9NChOProo3HiSSfiwosvwgsvvoD/su4LL7oQt9x2K2749414ZtgzXMrMwnPPP4977r0HEhwSKuqnmEhuwBDqw7PPPsuyLsYtt97qNOHH//tf3P/AA3hhxIt48MEHobyabJRW/Z0zZw5mzZoFMZ8EiAunIFL/NEa333EHbuOST8JxBhn2buLy9rvuxKWkmWs59h98+AFuZV0DBx6Dk046ieGX4qab/oOfOX5Bu+SaGSQoNOkK/kmNcSAntvPOP594uwqnn3kmXuJE/SEngJtvuQWvkvmzOVmMou1G/f6MdP7Gm2/imn9eg3//59+4ljRzxVVX4PIrL0G/Qw7Efgf0xZVXX4Z77rsL1914LSZP/QnFJQWsuvJTdIWFhhk5glWYmZvNzj33XFxCTUKCIiMjA13IgHv17YvTzz4Ld959DwYefzx8qsG5nC3nLVqImXNnY/W6XAqEQgqBNZhIBnzrvXfxLjs9iwarXNoAcikoCrRMgGHK9BkYTkK6iwN57Q034pyLLsaDjz6COVy7T2XcHXfdjSHPPIsfJ03BjTffirPPvwAT6P/08y/oPw8DTzwBt959J26/526ceuYZuP6mf+OTLz/HrRzQL8aMRoyMM2/hfEQthpy1a5BavbpbS99yx+1YnbsWz5GIHnviv2jUtAmmUug8OfRpDB0+HJ+S6BdysKQx7NN3H2RkZjoBJHVUguzjzz7FJPbtcmpc1157LTRzvMnBTE9PR/fuPdB9l11w6CGHolq1aiA3AlTBm7duha7duyOtRqZTX7MpdOs2rA+fy6EvPv8cmvkyqmdgGglt+dJlAAVrxw4d8X8s/x9HHonlOStRq05ttGjTGslpqVSDoxj5+qto3a4trr7mGqfa7sLyQ5ypUlivDKr5FLDDyITLVq1EwyaNECU+Phv9Ja7+17Wu/Yccdij+7/rr0HXnnVldDJoFxTCa9Zo1a+baLya4jzaUJk2b4n/vvoN2HTugVbs2HLtpuP3uu4jDF7ATtTkJpaOPHYhCjm219DSovxLuYN+F39Tq6dB41KtbD3Xq1KHmF0HdOnXRvHlzNGzUEEcfdTSeHvI0eu+1J6ZOn4Y1eXkcr3Ro+fge6Uflv0sb0dEDjnFCfsCAAcjMzCR6PZgZqXbjr+suO6N6Zga8SBiawBZzcqteswYuoBC74JKLUYN4VB89Lqs0s2up07JlS7fk69mzpyvIiKu2HXbC4CefwFEUBt+PH0cBPAGPPD6YRuqvubRqieoZ1amFLYYYW22R1nMhBfPZFJAraeSdwknMFVb6T2MsLUL1ailyIgXMLj2749QzTodw17xVS6TXyMTuxMEuu/ZEMaluFel2xeoc9OjVC3Xq18Nno7/APBrZwykpiPke6ToHe+2zF9q0b4VuPbritrtuxYmDjid953CMJyKvcB1gMVT28iqTwcwg4t97772x3377QUj1fR/qcDIFhO95LiyV2oXW7ZLSTz31FCXrTZS2t+FbGgLXrlnrZqaHHnoIQ8mId5G4hjw9BPPmz0OI+YkLaJhXUv1/8/XXMer991CdDNewQQMatkZj4sRJKKQmMpPSX7N3dRKcVLe1RGAJiVJrzggJotduu+Gf1/wT53EpkEGGG3TqIFz/r+sgZps5YybEAOqLiPPqy6/ENVdfg4P7HQypcJpt3yKjp6WmIY+7HN136Y6+ffrgxONPwP7sdxPaD86j0DyegrFmjRqu/zE2ehWXMuOpTdSpWwe7kEnbtWvn1tdSnTVTmRnEtGlkbOFMbQAvEVW3bt3og6tfqmSrlhQAxKlm9mZNm+GII45wzN+BjJmSkoyaJPRMEr/6npSUjHAkwmVLAzc+S6jtLOaSpnHjJkilkOjStStOpWZUlwyZll6dfcqjCr8A07nM1FiKKW/h7KW1/h233Y7dd9/dzWTCcbt27d0ugcexCaAd+1WD/Rau27Zti2KOx3IuI6S2H374P3DGGWc65l+2fAUFZXe2tSYaE2dqa40aNZ0twcxgZqhOYa1wEllBuQAAEABJREFU8MrKykJWsyz4nu/Ca9EuUbtWbdSvXx9ZjCukoDMz7LPPPrj88itwG9sqVwyZSvtFg4YNINxI8Egoi/nNjCVv/KmsNNJTMpd5KYTdeu2G1bQ33UsNQXgP+yHXLo2PBKVP+lbuAmq9ovcUMmQGJ8mOHAfhYGeOW4jC2Ge+GmTqphwr4e/kk06GBES/A/uhW9eukK3lwAMPRKeOnVGndh2H02D8Vb7qU5tkwxC9qN6WLVs5wanlZM1aNQF2pVHjRujStQu0C/f22287Yd6nbx9kcjzE/gMHDnQa09NPD8UD9z+EAw84ECqn/U47oWmTpujSqQtxlIIotX4BV/Go7FUpoaHCRTgaECHQzKB7M7q+B9kRxPTgfQGXHOrsMcccgyOPPIpB5taM03/+GZ9yvbWEa78GdeqhacOG8NjyXK77jJlDLCdM2K1nD/SiRO3EzvY/qB+OHXA0GpMoVuWsQJMmDUmImaiWmkIEJKNGzUwkpySxLUCNzExkpFVHDQqKujVroVG9+kgJk6Hq1kXtzBqoW7s2VIcHQ9jzETYP6RQOEli9e/dGSiQJUdovSmh/OIzq91UUKDfd+G9ceN75aETBlZ6aimSmCbPMUIj5yazsLth5ZxRbSoaVeisQUQpXYL9iBBGnlndFLN8nMTqi4UibGVq1auVA6qzWy1nNszjjJqEGiaE7BdBB/Q6CBIsIVkuaGLUNY9vNDOBPBODxXvXICFqDBCxBvGLFSkhNl9ote0wutb10Mo3UdrWjRVZzV+6uu+6KrKwspFevTkF7Pvbddx889thjVPufg8eZ1cygPokRC8hAKjPCvouxcilYMzIzcdBBB6EPJ5S99toLXbt1RZiakiYJ5QMvMZbneVAZAvVfcWIWMX4hNU1Kcwg3ZgYzjhEZMhwOIbiUTgKoU6eO6NChg8NPLBYl8xRBAraAy1XZQtRGlRcjbQV55RYXFctxuypK02OXHrjyiiuhnY5HqMnOmjWTZcXTqB1KXJe0k09NWIJfZcpv5kF9iXIcJEjkl/CT4Nxt192w7z77YmdqacKzxquAS2rhSulC7I/v+exqzIHq8EkPO5HWG5DGnn76aczh8npP0mP9evUQpfFUaTS+vnno3KkzJ58UvEtNXWPdtnVbh7MiCtUol/4SxKIT2YnyWe8S2tbW5eYhv6AIa9auA5PA83wW6REq/6twLiHfZ8dUhVl8QAO/Br24uAQMZmM8upxRU6pBCJRhriVVqyZU82Ns7XIaswrW52OfvfviIq7B/02GvIBLi/Zt20G9iUWpeFFj8AyolpyEainJCLPeavT7DCzg4GkgknlfXFxIRKwnU+SSYdeTaNaigDaNNTk58Ng4FoFVtFnkc4mUT3vIWhowV6/KwTK2QbOjBJjiZs6cgXWr12Dcd9+jAwduJ7alRbPm+GrMGPw4fjwm0cAm28K4H37APBqeisQ0ZBQRg/ACGMzzOHAeZ8gMyOj4yaefYOKkiZhOm09zqtnrctchm4JSTLKW2pbyxUhw4OV7vjNOihga1G+ARo0aQdpMPRIro6HlzYMPPYiHH37YGZYlAGRMm8tl3dy5c7BwwUJIQGTTULo6ZzWSKNSkAYwbNw5DhjyFR5jvgQce4Np8JubTIDqNKr7GrG3bNnjn/Xfx0MMP4YknnohrhLRraKege/ce1FzqY9LkSTDznMDwPI9DFIXODYhxZnINr35IgxE+taX74UcfYjDVdBnj1tIO9cabb7jt5bFjx7gtTjF0KOSzvGLIkCmYRo1Hxkut6dWPNZz5ZayTkU8z6vz5C7CCWos0jzCFiGxqTzzxpGuzzp2kpaWT+YBXaL8Z+fJIKF72B+FejC4cCtTWOWRGtV00pHMtN99yszNwaoxipE8JQzOOJ6GYwl19FsjgKiOizriorTJWqv/Cz0ou8aT1it5lnB48+DEMe24YnnzqSejcyUQaWKV1f0sbzrx5c0kH2Vi+YgXpNs/hU+0SaEJRu33Sez1OdqKv6TS4/kz8zJ7F5X1ODiR8GjdqjJ277Yz21AIF0kIaUBtTH8aQZu/kEvw/tJs8/8KLxMUH1EqWY+aMOZgxYxaNoNNQWFiCyZN/xvq8ArCnQk2lQLxVoQxCnBLKVafMjANfAhFB3Hq+1iEgSqmvdGbmmAi8ijiDiDlFWCESYIhNDZMAU6hWF1M6LiDxryWxhz0fPuOUJsoZIUZBtJbrvxVk8mXZS5BLpK3mEqCIBlSfiJUBUdZyHebJpbH02+++hZC2ngw9l0ieRYb9adx4SHMY98M4JwRWr1yFRSTC1RQmWVTXqlPLGEGj7rBnnsVPXFqcxz14LYWOo5qXS+a+9aabcf+992EWB6+Iwm7ShIkoITGNGT0GRWz7hlmA/ZRmJRW0NtXPV199DSNGvOSEwaGHHgYR6ToKLhGHlg8SHm7GYT+EUzF6t67dqJUdCc3UdTnDaOY5gsuS2tSOppPRJUjS09MgIknlElAEvJrCLoU7QFpW5azOQSo1ITHrAVRL9+L6N5v2FxGoDIpraTyuweWBlmue5+NMLiMkqGQ8nEdhIsPmSSee6AyEEiISLPvvtz9HBDAzN75iKtWrNgnv4NWCa/5jjzsO2hFRv2uyjhuvv9GVv55CXEJIjFNAYav+S1Xu3qOH230Qs0l1BzUxGT+N9KF6JXR+/HE8tOMTY1z20mw0p1Z0LI2DXbt2JSMsJX35UL+uufpqXHTRRdCyZOzYr9giuGWhZm2f+FWA6o1SKEj170HNrSO3rbUc6UDbxAe0h8yihiFDbhsut6QFmRmkSSl/X9rqsqiFyeYgmtPSW4JqLA3WEiBdac9byR2K3r33xDG0qwjnY8m8DRs2QgtuHWtXSeP28SefYDTDNeFl0/Ygw7ToQO0Sfag9Ek5p3C6X8fyuu+6CjMKjaWuSFqOlbQFpP4kTpjQ62Ui69+hOzdl3E81pgwY5fGhJ144T3wlcPterWx/duu6CVtxVmzRxMtauyUXnzl24nE3iVn4JMYtKX16lc5Rm0CCIUTUTFFIorCIzruVMLgRIYmo2lJQUYS2herSAjJpDRtXsuVP79niX1vZraaS76/bb8bUGmmqksQu+qYISSsRJ+HnqJMzlzPDmG69ixIvPI4cGv/kL5kFCqm/fvSHbwFdfj0H9BnVxGA13tbnum0tNoCcJsm2bNpg6eQq0ROhHBpJ2sIaCaSCNZIeTidMpLC6/9DLceMMN6Ep1rw4Z81//93/oSoRWozDrvfseuI8G3auvvBK33HQTtNbfn/aMuzmQt918i9s58DljajZyLSZBygbSr18/3M2dh1uZ5gJqUoI2NFDuu+++bta/g4bWXjRcacZkd5V1A9TnVuqRNGzuRnuMZuNqqalU9/vQHnQrnvjvEziVdoldqfpKM7v/vvtxHXdYbrv1Nsg+dBPbeN+990GHlrTmb0J7xplnnOW2xe+4/Q7sscce6Evif4Q7O/fffz/at2+HVq1aQ3aelyjcZNBU3cqrZYnsGw899DAGHD0AmvE8CnmNuYSSrPvDaRRWnVouSBU+grYMCZrnn38O53IXSAbMgw8+GI8/9jiGDh3qBEgybQj5FLyNyEwXXXgRnhn6DO6nIVU7O5dyLC6msVvbmw888CDuIF3cQgO32nXtP691M2s4HCLBd3a7VurrpZdcii4cr+q0MexJhr3xxhtdf6WR3cFdDS2NxWxqt5lBfRh4zEBoZ0LGRh0LUBlPPvkU6WsEBg0aBNmA4GgQGy4tu57krs3111+PSy65BENop1O7z6JRU0x9D+nkzDPPQi1ux0roSnN76skhOG3QaaSnrrjrjjsxfPhzuJv2O9mOXnxhBFSWNAO1TRWJpiW8JSTVNtHiKSefgj59+rjlonB0zDEDUIt0amZoSG20A5dnEjBR8o6gDjVTCVXRxIUXXIjWrdug34EH0RZ2DW68/j+47NIrcN11N+DOO+7GDdfdiPr1GoBZVX2lwKtU6tLE6qgkowSD9ve1bp/CvV+txcVEmrWkWqZWS4XUTKnJUi1FLJkZmZB1+5RTTuGAd8YBBxwADa5Uckl14gOgttKMFvkLL7yA6+pHcNPNN1F1/jfV8wfxbw5cu/Ztsfdee+KhBx/Ak9zhuP66fxGx5+C4447FueecjRtvuBGXXXYZzjjjDIhpL+YspJnoOM6GAtUnYhLBa8bRbC6jpgx8vudB/Uum4FCb+pLRtMQSwQmasl0tWrRwxlkxvZuVuGwKUYCEIxGEPB9JzNuQthoxpgRbKBSG73nwaSzzGC/BGitdmqDM5ZmHMNVvgZFyYxREMu6GOFumcvZJphEuRDuBwGN5YuagLDND2NXjUyMogWsPy1K6cCTC+xDYMags9U9uUlIE4XAISTS4+mqXjGOsM8x8rWhjkZFXeZLI7KpHZflsi9x02kU07mqLygMvxYHtjnB5pDThSBgKW8+t8am0ZWmCmb9gPmRXULhHvIloYwDMzM3sQR+Un0EQHuQX+Oo7cRgj7qJawnoeXLjnswAgbtdhDmY0s3i/2F6UXkqrZWTI4cmDmTG/79qoGd/jfYh1sASUvVw+xilMfrXZPE5x9JjRZYTaLdovpnbswYjXMJTGJ114bJ/w7bPtycR1jIQjw7lwKlwzu1uqaBIWv/yX28CPPPqoO3MiOm1M46fHvrI6lgyEWI7vefDZt0g4AtGN4gW+58PMoH4onerQ+Ag833N54/3jf/NcWlTy8iqZfkNy3/edRfzkk092klvbb2IyWZ+76NTdf27C448+RiPTFdBOg2ZeMbG2ryQ8NKtpxjqWy4DGnHnU2aBwz/MhIaP1WitakGvWqEWDVy00a5oFqV4+kZJEZKVzLRsJJzlEeESAwOR6HpLEKKXI1cBICGg5pPYZ9Aci2+DRHyahyAWJ0WfdghiZJ8Z7M6bxPNbh075SDZFQGK4e33OD5hMPIlYxsAEsDQgxvcr02Rbf85neIKIJ0a/6fc+DmFFAHzYA61Iej6UYQf4k1qd8RooxAB7TCEQEIZajcn3Pg8c4t1RiurAXQoh1hZjWJxjjfLYT9KtP8vvCDQy+5yPGvnqeBwkP1WcAjdOAK9v3AMabGcwMYi7hk0ncvRnDeUPH2Z6UB2wDc0Ht9DyjSrway7mNnJmRgdnc9cqhxqidPo91+2yX7/DkwVgOxFCsT14zMiT9MQozxSqPylYdEY6/XI+ZfP7zWYZwrnzCjcqVq3uBmcHzPKj8KA2LHmtTHt/ziAPeMV44Y4Jf/QLGU375VQ9zIIltYPWu3x7z6z5MISHaC7NfamtMbWccREuUjsonYDdde8zMuZqMjjrqKDeJSnOrQQO47g879FBnqPfNQ4ht9Zhe5ZqZu/c9D26MiXO1ReB5xt4BwkEoFIaEh/wG1cz/zKsxF/7MDJW9vMpmUHozc5JUa0ZtveqYq1T3pjTQJIfDSKMRtBat9zVpUc8kYwtqkGAyaJnXeiwUDkGqqmZPzWJ+KOQ6qEcjbFcAABAASURBVI55JHhByI8wjBAi+GHWF3H3noUQ8ZMQ8sIIWYi7HyFEvAiSw8lIUh7Ph5nBPA9+yIfn+wixTZ7v0e+VhtH1ffpDjGN+Sv9wUsTde77v0oUiYd77rLMU2EYzAzggIbY/Eom4dB7rCTFPEpkwBEOS5zuIMFw2mgjv5QrExGGGKywSCkF+DyyyFHy6ApfO9xBm+8MsW0SaxMGPyG8e++s7CLNsl5Zh8ieF4mXG8/jwPQ8+83gsS67KCfkMJwH7ZEYT89AfZv4QAJ/gEdQ+EaLPcAfM45WWJcESYj0qLwiTP8z+K63KitAvCDNPMtvdlssgHU677667cRGN3k0aNuYuVQRJLNcBy0tinjDvw56PCF21QSB6CvrlwhVXCmGWH1E+5glxbHzPg9omMDPnNzOYGYIrzPQqL94/pmGc6k4ORxBSfpYVpA1cleezTkHc78XTMm+YOAp5PsKMj4RCbHuIdOnB9zz6fdJl2MWpvhDTy1VajYWEr5m59vnMLxuWlkw33HADLqem3G///VGLmnkkxDJZnmx9wkmEacOqV6BwQoT9ioNPnvBc3WGWXRYiniFMUH6B8Geo/CUaqXyu0hxm8SrNzHXcrNRlPH2/DGMcg93PjLEE3ZgZwJ8D96/0xoXH/WZxF6WXmcHM3J2ZOT//x13eK8LM5PwSFEYwY5xAsYHr/PznovhP3rJxvAeDzfhPfoJZ3G9W6ipsAxjMjHdA/D/d4J5uEIbfuIy5HJRJG9wri5nJ+RWYGcwIsA1xZr/2SzvySXQBAUgAbEwVz6p7ge7MAp/u4mAWDzMzmBHiwTC6ZkbX6INj3hqZNSBDpbSNEIneRZT7p9SCcsEwMwflw8vem1nZ2y2mV2LlMNN/IP6fbuk9yl0OP6VxxtRe4KdrTCugA7O4T/8NpiD33yzudwH8Z/bLewbBzCDhIcEc4aRkZi6M/+Mu71HuMt6b6T8Q/48Nl1k8xCzuKsLMYBYH3W8NeOUzJe7/+hiQ2q6dDhmstaMhq71sVAr/6/c+0cPfi4GtFhoisAB+byMS+bcvBiQwtFWt5yVko5hFO4PcoBVmFngTbgIDv8JApYSGjEAiLs1O2u/WDKV9ewkPhcsNQDUFfrnKK1fhCdixGJCRWQ+cZWVlQVuovXv3djYmM3Oqa2Kcduz4VPXaKyw0xPRSYXWYSzPT888/D4EEh85pKFzxxcXxI7giPOURBEhQWOBPuDsGA2bmbAyyL2jtrDV0sF4PXDPbMY37O9T6F+hjhYSGmD1gfmkUEhqvvvoqPv/8c3cyT3gILMEiPAkOpVc+pZdQkUAxSxCjcJWABAb+zBiokNAwM+40ehssu3r7k06jaeuxoLAQekmNji7rASidbNPhrrk6Gr52LVauWuXecaBz+hImSFwJDCQw8KfGQIWEhg6i6BSbmTnBoTMWkeQkZC9dio8++RgjXnkZb7z9P8ycNRM6Nn7/Aw/g0ccew8zZs6DToPfcey8+ZjppG0hcCQwkMPCnxkDFhAZXFR739M0MWn6EwmEkp6aioLgIM+fNxXc/jsfrb7+Fl7lk8SNh6AUn8xcvwqLsbKzIWYWU9FR07NwZ4UgEiSuBgQpjIJGwSmKgYkKDTae8gI6e0usER3paGho3boKLL7oYesqwS+cu0ANqderVg06IFpcUQ68i07sd6zdogC5duzotRfkTkMBAAgN/Xgx4FW16LAbIsGlmiMai0DsJkqg5pFdPh4yg2rpTfIxxer6kZYuW7n0JWp7oGRItaSpaVyJdAgMJDFRdDFRYaFBkwA+F4HZFolFES0qgh7T0SLyeXJxLw6eERfXqGe64sPb+9aSkztPvvHM3+J7vhE7VRUWiZX9GDMQ4mwXwZ2z/n7HNFRca1DDUQRlEJTxq16njBIh78c3oMUhLTXNvqNZDaXqHRetWrbDzLjujnd7b0LI1zDOYqYQEbBMM/A0LlWFdj9tr5047c5rQ/oZo2O5drrDQMCPHU6pLY0irlrrhpS461KUThieccAI6deoEvfQ3JycHCxYucJ1p04oCg3kN/LMKV+fyJv4lMLA5DOj8z/Tp06Hj8IHQkNaxuTyJuN+PgYpzMW0arjoKAD3O3oW7IXq92LnnnIPjjj0OWpoUFhVC73t8/fXX8emnn7n3T+jVbhrIGG0dXJ+4IhL/Ehj4IzCgE63t27eH3nYlu5qZ/RHFJsrYAgYqLjRYkFFT0LD4vg/jX8gPQS+20bsIwgxDNOa+9qWDXHrZ7EH9+kGv95M9xGN6M0PiSmDgj8KA6LB69erQG8Q8z4PALEFjfxR+f6sc77cifh1OVaN0POR4HBy90CNEYRDhgOnFJhlp6dhnr73xz6uuxpmDTkP71m3cC0kink9DqPfrIndUSKLevwQGzMzt3OnFOGYGM/tL9Kuqd6LinFw6IGbxgZHQ0IEv3/OgEP1XmLZWa9eq5aS/mTlhYaYUSFwJDGwzDJglaGybIbdcwV65+991a2Ywi8PvKiiROYGBBAaqLAb+UKGxrXoZ465NANuqjkS5m8eA8K8UgSt/AJsKC+ISbuUwsClcKkxQuZK2XeotC41tV/cWSxai9Gi9QFtqchW2xYyJBH84BnQGQrgXqHC5giBcYZWBIK/yB6Cw8lCZMv/MadVvnTeZMmWK+4rehAkToI8paVtZcepb4Mq/I6HKCw19W0Vfmxo9ejT0dauyn9nbkYjbXnWLUDYF26t+1aP6A9fMEDB5EFbWlb+ioHKDsgJXE4P8iqtoOX+FdOqzvq6mr7aNHDkS+p6rXsmoM0/ChcDMqkRXq7TQ0GsFP/roIwwePNh9p1Pf3hQSqwTmtnMjRDQiLIH8gu3VBNVlZu6bJ9L49NyRmFv+8m1QWsXJLR9X/l59ESi9ypKrNMorkP/vBNo+1tf1+vTp4z5CrddM6P00VQkXGq8qLTT0tmx9tU3axS677IK9997bfUTp70RI6qsGqrikBAIxlp75iZbaeRS/PUCEq3bow8cff/wxpP3pu7l6R6zCgzYE6eQGYZtyJST0HVeV8cknn+CLL7+Evsqn/m0p76bK+/OGbWy5vlrXtm1b9OzZE/qqn1lcUAcpdjReVL/Gp0oLDc1oer5Ax9Q7d+4Mnf7T07QBEuWKeUpiURRF41BI5ioiFPO+OFoCxceYMAB6N/kTQgLil3+TiUoDFb8+Px/zFizAnHlzMWvuHMxftBDLV61CQXGxa4vaVJp8k47KKGEblU6guhVWNrHaXEzhsHj5Mnzx1Vi8+8EofPDJx/h89JeYPnsWctevRwnjg3yBW7aMP8JvZm5XTATz+Rdf4OGHH8YjjzyCIUOGYNmyZXpHk4tXXWYG3/c33OM3LpU1efJkp0Xec9+97qVN333/vStLY/Yb2f6ywTqYJgg6GNCDmbmgbTW2rvBK/DMzVFmhISRpFpMhSMjcFCGKqQqKijBt5kyM/vorfPT5Z/iEMJoMpreGrcldRyYucoIjCiAAen/xEwFr5lOd0mrk/0WCcjci6kVLl+Cl117BE0OfxvAXX8DIV1/Bq2+8jinTpmJ9YT4kEFw2NXIToLokeJYsW46Vq3Kc6q+wsnlUj4ThwuxsvPzaq7jr/nvx9PBnMYz1DX/xeYz99huovQGBubzb4J/aIdxJGM+dNw9LKcTmUFiuXrsGeqSgbJVm9tsnM8vgIRaNYVXOKvd2twWLFmHd+jwkp1aDFwrB830nPBw+yuTBX/wyMydwwUt919F4HVwT/ZvZFgUxs23Tn5m5l1JXWaGh3gthEhZa6+nQmBDpqEmRpVBSUowxY8dg8H8fx5NPP4VPP/sUb7/9NoYNH46xFB5rc3NRwrQB7dH7q5/KlaAooYby2muvQWrzrxKVDeDsXpBfgEmTJuOjjz9C7rp1yFufj9Fsx8uvvIIFCxZufMzGmHETYJ5HYbEKX3zxOcb/ON4JGTMmVEOZxf1Yj09PnRo1kZGaCo+M1qVDJ/TebTfMnz0Hr738MmbOmAG1XX1g0m32U/l51GzmUKvaqUMHNGjYEJk1aqBmrVrsa8xBZSqXsFu4cBH8cBj6PKfKqd+gAeAZjMAC+SuLDPylLzP2m6BOCtdyfQpPCQzdm5mCqgRUaaGRkpLiJG9aWhr0mTrNqOWx5vshN0trl6Ummatv333Qc9dd8eOEH/HCC89jIZcQevdH+Xxl780MGhwJjWeeeQYLFy7E5i4jUUeSk5CclISGDRrixBNPxAnHH4/de/WCVGwJqyiXTJsrQ3E5nGklMALGV//IfiC3ODAKCeMSRsIiVlSCFk2auWP6A444Cj267YzF8xdgzuzZkDamtou4VO62AGk8+tJ5565dMPC447Dr7r2Q1bw5oqTlQgpu0K1wvUxbWFyEJI7v3jT69T/0UHTt1s0JoHjfAaNQ1ZjgF9df/0ZjKDoIJgIzg5m5jivOeXbwvyotNCRpBbJrCInClZhKyBM4AmNgQUGhEyp77LEHunbpjAP3PwC79uiJmTNnYS7VaeVX+l/kZT4NjsIVL7+YT/eaBbU0kiFWcQpjclbnSuDMXoJlS5di9pzZaJaVhaymzRzBt2vXDsVcLulx7Si1BNkbAgjutZzKWbMai5ZkY+ny5cjLWw/Vo/L0iHfu2lyoLTEKC4E0qyWLF2PJosVoQgFVv05d6CHBGtUz4cGgvX21Ue3bFqC2xPtQgtT0dBxPAbnb7ruj/2GHof/hh8E8LiVI0+qf8CT4rXbEsReD0taoVRMHHtQPpwwahFMJRx51JBo0qE9hCRfPIn+rmEqHqw9BJrVPICFbNjyI356u2lEWVLfu1a6y7VNYAEqzo8Hb0Q3YXP1iYiFQ7+wQY5gZ2cR+kUVx87i+loG0ZcsWSE5JRigcQqPGjR2TSwAUcVaLyihKRpStQWUKJIi0O6P98Pfffx/6lovCPvjgA7zxxhsOdDZEYRpEDVy0JOpmdh280dKn/U7toRlRccVFxTAzeL6PYtZXRIgzXBTF1DxknF2YvRhvvfM2hjw9BP97+3+YPn0avvvuO7z00kvQ0mjylMkUSsWIsa0sDLoW0siay2VWk6ZNUINLAoWpbrVLSzjVLVCf5Cr+94DKCUB1aNcG1K60lKhVpw6SqqWgUZMmaLfTTnDhoTDbG0NQd+CWbYPCVGYJ+yUIU0tr3LQpmjXPQu16dV15SQwrEc6ouahO5Slbxtb4VafKCdzAr3uB7rem3N+bR3WXB5VpZhz2OIiuFKY2CsxMtzscqrzQkODQ0kTMYRZHmv6b8T9h0eJFXE4sQosWLVCrZi14mvmo1uuNTj6Zt3r1dIZ5iDJMiI+SeUneGxCvbT4JjC+55ffVV19B++ISCBMnToS2FxdweSOBoQxm5hhDuzp6b4jsLJ07dYZRlc7nen8WdzTkb0KGUp5cGvcKigsRFxycQVmI1PLVa9eioLAIxj+9XkDMEo5E3BObvuczFWBm0JWXv547M4tQYjHUb9QIEQrFNblrsZiaipi3JmeOFEUsAAAQAElEQVRsfeVuzpw51FryXPuU7/eA2i5cSWAI/xJQ67hbVCRmJtNLWxJTa1lSQIEs1+GV2pWZbWh72TaovBLiPl5GCQq5y5RfWAgZg9cX5DtD6BoKxnV566AJImhD2TK2xq96lU+uyoyy/fJ7nrfJdirt9gC1Qe2RaxbHmfxqn+hBS3IzI91GXTvN4mm2R9u2VIe3pQQ7Mt4n05sZhEQJjnhbZBwzxxyalfS1N6noHTrshIzMDBC10DtLdQy3OdfcWVnNsWb1augDTloGuIGiAFFZIpw2bdqgf//+OIzq9rHHHgvZUQ455BAMGDAAuu/RowfMDLrM4vVKIMlmope/NM/Kgg6hyabyzbffon69emhKofE/GmOHPP003v/wA27FruQqI4Yo/9enAfHIo47GhRddhONoG+jYiYbN3r1x5pln4uSTT0bnLp0hQQKwLla7dOUKzKIm5dOGklYjA9JU3hn1PqbPnY2OXbugkMuht956y50gnDp1qmM4uOv3/xPz6nDd09whemb4MAwZ9gyNzUMwdNizeJJhjz/5hPO/OOJFSMiK4AUi/vK160NaM2bMxMuvvIoXmP6ZZ5/BE089iUf/OxiP0Yg9+In/4qmnnsIzQ5/Fh6M+wHJu5ZYvY2vuzYjE0oxqlyYFaadqp9nGuNIk28VROwJw9EhhW7Zi0aVAQlvxZgYzK5tkh/q931O72LcsqCwho6wr/xaBSFM+Qdm0EhY+t+BURxCuNMGslpeXB+31F3O2a1C/AWLFUUydMgUjqepr5u934IFoRIv8t998i+HDhmH6z9MQ4/JC2oDKMzM0pYq8/377Y3eu03elAVVLDGkt2iHQQZtGnN01gGqDCE3nEj7njoeEUIxCYOrPP2MUmfhNMi5v8Y/D/+GMo4toTJ0yeTLepfCYM2uWqoOxn2EabqvTNiCoRkNgKlX9lORk+J7vCMO5XAqANKJvx4z65CNM5DbuEhpNP/tqDEb+7w18+OXnaNa6FQ7sfwi0XIixH1998w1msh4Rmqus7D81flNQNk0ZvxkFFtuqIAnlF154AUOefBJffv455tNGJJhDrWrunLn49puv3dLq7XfecW+oF46UrzwoPJva0Zv/exP3PXA/RnLnRy+jXrF8BVYSVq/KwRJuLX/O3a8XuKWscdVYCw9ly1I5LpyB8ktgC8Rcug/iGO1+ZgazeH+kHb7++uuQVlZALSeewP13k1C0tM/xkM3/d+isRPqgtKB9avO06dOgQ3JaQqv9ihOtSYtTvMKCfFXJ3WqhIQS7dbpUTqp8UjuDQVPng07KLwjuf+US8YqPcrvT5WcCDQhHGkJeMde4Ul9lHxBzlDC9YPnKlfiEBPY1mWXlipX4/tvv8A4Z9A0Sxfq1uTiSzLvv3n1QLSkFRs1izBdfYCEJXozrex6LN7dsIUnB9z14JKxCGlR1Ek/74xJWTCQ5gMAvlVqHuKZOm4Zm1DBqZNbA+PHjHbNqGXQcNZW+fftCGs7xxx6HIw89DEnmu61SjziKsN4kQjIFR8Q81Kiege5dd0arFi1hAHyP7SCYGUB37bpcrCbsRO2jZ6/dEGVYMrdeDzjoIBx7wvFo1a4NOu+8M7r17I70zAx3JqWE9bCojT/2nRwB1xH5KTSjxSWI0Y1RyILuxsQbfWYGLQkPPvhg9OauUJIXQsc27XDJeRfg0vMvwFWXXIZrr7gS5591Dg7cdz+szslxBl2zOINqTDeWBrf0atW6NYXzHoiEI6hfty5OGHgs/nn5lbj6sitwzeVX4EqWKbxpmblk6dKNWpPFSxITBaBlk5aPsgPJBrWcRuV4ql//F11pCae0ylPCJEZcio5KiBNpQUWkvxLiTsDozf6ionmmV7miUddXEW0ZkE3KxXMZpjYrje7lmhFH7NOSpcscDY/5+mu4JR7DpI26NjCN8G/GwM22ZvtHeltTZYCbKBlYW3FiaCE9SmSqPCEmAN1vCVza0kRRugFocMU8MeJNAxzzjIxjiBGRq7munzlrNho2bIBevXZDmBqJtIuWXJIcT7W/P5cYehlQUiSMzp06Qkd0tbPBosigBrNSYJlm5taOSUkRnHfeec4+YmauHtUVB0DbizVr18Z++++Ps844E8dwCbNrz544/PDD3barjv/KzpFEg14kHMYazp7a7WjB3RUfBt88hDyf4PEOqE0bTK9evaDvwrA6mBkBgGcAf00bN8ExRxyJi885F5eeez7OP+1MDDruRBzR7xC0adYc1cJJ0FgkV0tFtfQ0ZC9ZgjzaUfCLiwWV3gvPYq7x48chl/iLcbxE3KXRGxyfy0LdiGiliQ0ccAxqZmRi0oSfsIg2HvWpXu06kNu1U2cczTbu06ev28FSvhjpQm5ZMDNnc+rNHa5uXbpiKbWKybQbeUyUXq0a0lOqoR6NrHvvtReOPuootKGAYdTGnxH/ZGqVLeaT3UnLslGjRrnj59I6Fb4xQ9yn9ILPqSX99NNP6MX6m2VlIUQbksZVzJpfVIj1hQUQ3ZUQJ/Gcv/2/hIJ29do1GMdtfQkvGcd/kZr9V1skLKT5KY0gSKM40UirNq1Ro1YtfDlmNPQ1QrUnSjwZJ7Ekap+ipWAsgrxVwdWYVbodHD+3tbiUklKq3kIaI4WIKKW2ntSTUfELzuxS5TVgZmRAInJTFYnowXij5BcojcIEZgYhzchs0KVAuiqzJncR9CU32QLOIVOdTHvAwIEDccQRR6B127buzWFgmQJZ/VVOfgEJg+3QsoLFbPiZRzSwLg1Urz16oXpGhmNGVbcB6FEZjRs3Rt8+fdxZkJ49eqJLly5o3bIVMjMz4Yd8J3y0dTrqg1HQMxoy9C0tXZ+bCXPxas3MpRdhaMfH832AYawGwSVGyqrXEFl16qNBRk3UTc9ARlIyUpguOWawwmKI8WbNmsluekjhUsc8lhMUIJddizF91IBiGlOnzaZd4fXXsHTVCt4DJSRQJSsPZszAQAkOHeHfhxqUzq9oV2nVqlVsqlGBiUFaWaOGjbDX3ntDxjtmcT+zeH53w3/ql+f7Tgvbb7/9aKdKxqeffopJFBxlBZceGdA3c7p27bpBCDG7+5nF65RdQk+D/vjjj9AzSQcccAAyOGZiUpewzD+FSaAovc/6tfQUzlHaPNlttHv1He1RhRQepcFlSvi1l3qae4H20888g7Xr1jlaKZsqxkLU3yiFnOxt+mDY9OnTYcYIJoySBgFDzZo10YY2NS1PZBMiQvmLORqSvc4j/arN4GUW7zu9O/xHkqp8G2JEUx53C2T4e5LGLBnCFixcwA5H3TsApAaKILRNqNLF5HLLg8oRcs0MZgb+w6YuIU+vFownUTqQQNPRtk1bztI7oTlnjnp16znCEeML0fFy46XN5+y4ju2dM3cutHuhOEE8FuwNYBwgDaZccqALQ7kr3gaDT63GzCsVaGwP4pfCRKRLqVpPnDjJ7QgUkBAX0L6hslWnQKmdawZzWoUBRqJAmYtBSiMADIwmyPWIZzjCElGKgZYsXYLWrVqj+y5cplDjiOeBu9zsaaCAiDnIycvFwuVL6Ad3ZOLgEpb7Z8ZMDJPQkHFYhuLa1LK++fYb6CEzRm34uTScGX0ypRsr4nJDZKnHLF5eNWoV3bt3h57mlLD7+JNPsHzF8tK+mcOpypMwMovnQellZm4JJK3hf//7H4TnOtROGtBulcplm5kRN2V7D1eutBKd8lVaCXe1UTSpnZovqIE8PXQoPvzoI2h5ii1cyieez6FxXdvjhTREw41hmYxsgtJJGMiQPHz4cHz//fduzBTORvIXRYjaaF0u09RX2VuYDYzYSHtluu/ylaliR3q3SmioVyKQZFr0Z8yciQ9o7ZZBR8hU5wRChmYNdU73IvBiSl5J6TgAJcSS1EF3z8zyM0hZHMRYkfKZxbGncoRUM97z5+5dSt7IVWbGaVZ1SxmGyW/UALr37ImmzbNgJOyoyiWo3mLVS79mhyjTqwjVq7JLaE+REJCKKTfKe81Muo9RmS1RXq5ti0uKIRVV4WqvmGt/zn4nnXoKDj60P1q0agmpwRIgBSQyqcPabhSsp0HOudSC1nK7MYfbsau59ShYw6XGmqICrCxYhwUrl2P6ovmYQZi9dDEW5azA8tzVqNewPnr33hMHHXwQhHNtB6utar/apCPuC2mA1C7MqjWrsZZbuIVscy6F6LJVKyHbkNb0Sh8A0eCYTcwlv9xmzZphr732hA6ffcgdoRzaMIg26FI+o6BQOt2blY6HbgIgrsgRkOBVOyU4pB3opTMzuatiZk5gmBlUjpm5NqDMZWYc/pjbCp89e7abqVWGmUGCxiwev6H/pDeVpW1zaRuqNxwOsYyoY2AJidfeeB2yS4lWRdOstEyNca/GVGOr3Tct75ZRyOVybLQsX7w0GytopNakVEz6iHJ5I3wIpGlLM5OWobIVphJVntChtqVXrw49JqG0MsKbcVJgu4uKilFM25PSVzXYOqHBwdHsk0VCSufMptnu2+++4zo5lwMSc4MplVazihAlWMedjuXcPly6YoVbv82cMxtTpv2MSdzt+GnSJMxdMA9S5WMBJRJTJBuYGZFHBJIxRQxCZNxlGI1MGgAxdz73+vPIdKvXrCEjrMBqMt8yGksXLl7sDnz17LWrW7bM4A6D6pwweRLG/TQB3/04Dj9wjf/lV2Mx5uuxGD12rHueRM+waHnx4Ucf4v1R72HESyPwyquvcqdgBF548UV38OsNEpzCRnC3ZuTLIzFixAgMf/45pn8f02dMx9x5813/Xv/fW3jo0Ufw6ODBePixR3H/ww/hvgcfwL3cRbjn/vtw30MP4O7778Wd99yNu+67BwoT3Hn/Pbj9gXtw64P34daH7sMdjzDd4IdxF+Gexx/FfYMfxTDWp1n39TfewOPculTbNLMWEzfCpWbxka+MxP2s7+577sGbb76J2cTB4McH437W/wjbs5xjQnS7sZNrZnIc7s3MuZoV9+Mukwh8ATUn2Y+UiLHMF6UwoK80rcJ/BQaWQ3KjmxSJQAfxOnbs5MZWWitKLzODmElgxsT45SW6E11pKdSbW9X6QJeWG6IxpQxc0YhoQ/cSGLIpaDkQiSSRwmJsC8vmbxmX2NJA9txzTyd4YmRYlVMWhEuV9w53iO666y7ce9+9eJHjvYq09ijxeNe997it6EXZixGlNIhxGaj8yqPtXT2dLXuX2qJwM2Mf4yANKSMzw+08radAB1snepbNaS3L1ySF0suMDS7170iHo1jZ6uPpNbtK6kpg1KlXF9o+++GHHyCbhlI0o0DRwMsv5C3g8uXtd9/FiJEvYQQRridC3+VWpUBnGcTIjnhiyhEHEYcMRkVU8UUAHGkOStTNNMOGDXOPZ4v4n+R24NNPP41nnn0WzzJ8KN1nhj2L57l1N2LkSLz93nsYx/Xvh9y+fO+D9/H+xxQEnC3f+2AU3mMbPvzkY3xGG8yXY8ZgLLcQv/3ue8hoNpHrurfBIgAAEABJREFUbW39aTaU+ih3xowZjul0P4Mz5Nw5cyDQFmz2kmxoBs7NXQcdiMqjINMsXlhSDO285JIocinYBOsL8yFtyLTUoSbkEWR7CSdF4CeF4UfC8HxfNARt09bKrIEmtB00adAIDerUQ+3MmqhDQ2r9uvVpYKyJ6unpTlinp6U75IlAPRKZtnXr1qqDzPTqCHs+kvwQRHpJoTAyuXtTk7YAz4vP0PiNq+w4akx6dO+BGjVqkrw5WCxM2sNvZN0QbGbsj+fqBv8bIUz1XIbWrKwsCp54WdjMpT6JgaVNSXjJHiBBYGYul5nBzJxf6Yqo1YluREPKKzpUJPkaSiVhItAE17hRYxjxoPhNgZk5oSKNRstTp8EyvQSWz3HSeJdQ4JRQ0wBLV71qp+Jld9GOmtog4SU7B5HHVKV4Z9d1armQxlh6qXGFaPNJYjHxeDO1FlXm8ra2Jevz1mMOGaZBg4YYcNTRSOaOgWZeGZU0oOkkYiFOAyVXqpeEzOy5czCTWoZOcq6keryCsIwz3VJumUn9M9uIIA22CKuE1moh3Pc8bCDg4mIUEMkiDlKcG1DNQqo3jXVX4xo3o0Ym6jeojxbcUWlFY2VLbm12orW/Y8eO7hOSMmJ223lnGtO6Y0/OWpq5eu3eC/vss48zdsrdb999ceAB/TDg6AH4B3dJjuFOwjHHHIPDDzsMhx16KA2vR0IHwY466ihn9de263HHH4fjjz8Bx3Hb9cSTTsbZZ52Ns88+G6efdjrO4K7L2Wefg3POPRfnnXseLuT25QXnnY8LL7gQF114IS7gvcLP527JpedfiKvPvwhXnXMBrjz7fFx2xjm4aNAZuOT0s3Axd1IuOuNsnMeyzzrzLJxHY/D5LEftqMd1svAk5qhF5j6SbT3n9DNwEbdL+/c7iEKnLk7iDtMFbMdpp5wCpREdmMVxL1zrPgDdiwG0U6Gl1xH/+Ic7BGcWJ2rIDRL/pmswF2fIo+DU+ZZVOTlcWvVG48aNOIQxgkvwm//UDgnlldQgdX6mYcOGjh50luQbbr1LxRe9SVhIqGsSE4NKsIg2dABvPZcVHtsLwiwurYN4zydtMcwjjZVvgMIEfWkMvviSi3H++eejX79+iJDmBw06Dedz7E466UTUrVcPKlf0rnMWWpZIKKmtZob1XBKKPz6hHUfxRgkhjU0Tr7Qvz/MhTSfs+0hPS0My7UTgpX7TqTK/CgsNNVyqVwkpUW7uulxoELqQCffZuw92atceshLrFWUbLNTspsdBMDNEOHNWIxI029XgbFi3Vm1k0q1eLQ01OAsmc+aLExUzlf6kppV6EdQfMg9tWrbEQDLuWWSEQdw1OfH4E3ACmeC4YwZi4IABOH7gsTiOzK2nQXVeQ3D4If1xxKGHo9+++2PfvfpiP24R7t93Xxywz77ou9fe2Gv33thjt17o1WNX9KShTv3q2rkz5HamkOncoYPzd+rQER132gkdCG25Ldiwfn3UZl9qkjkFdevUhT4a5RFPJQWFSOZsWpMzeu2MTNSlZlCPaetzu7Jezdqu3xmpaRAOlKcG09XgDkmNtOrIpOCrWT0TtQXET0ZKKqonV0N1bk1mENKTUpAaSUI1Em4qIY0GxrSUak54azYM8O6TEFO445LObdmamRmQm86yUpOrITUlBWkMV3ozI73HQbgOQAyg7XQZQCdyGXnggQeiGYXwBhWcM2sJQaq1hL7SB2MWuOSN+PgxQGnnzp+H73/4Ho2bNEYP2pq0ZGDl1CJj0JhrmbpmrY7aF0LlaQYXzakcTTJruF3cuEkT1KJhtpj2mVm0byzgkknCQkJDTKjTsdrlYZXQjpdO70qo6JUGTmhQK5j000TEOPlkL1yEItqUdHZFAmn+okXuzMs8GtCLqCUKlz4ZWVpW3dp1nZaXHklGGAbRce3MTDSs39CdP9GWullcQOhMiIyhMtiqHypbu4qzOdlKOAjy1uZi3Zq13G6ui3ROdB7LFBBhULzyaSzUj6oCXkUbogGT4aeEzCBEruC223IahMQ4dTh4O3frxnVtvLiWZGoRopAdgA7s7Mz9+X3JoGLU/fbug76998L+ZN4DObPvussuVLdr/rI5rFT5RQgCSWbfMySTWXRuoA73uGtSbc+kMUlMJ6RXJxNkUhhlUlLLn0aGcYxFgZVKSOJyIOJ5iJiPJE8QQpiCyAcQ4oBFGCbB5PHe571zSQS+5yFUCj7TS73UuvOTTz/BkKeewrPcfvuClvh1NGLOnj0Lz3GZ9OJzz2E6bTZGTcljX0IsxwHLVV0+gAB0Lyh7L7+ZwVifGV3P4LENZgbw59H16VF75bp7hgVpzDN4AoaF2e8QCb8Jt4wP2H9/Crpa8NVXLlfAy4wF0tVPRCpiFc4F2UuW4EUuKzt364rdqZFpWVVMQRHQg3YhxowZC832yitQOWUhSoQVR0uwjHatsdQKZIDtvddeqFm7FmKeh+JSupIt6tvvv4OWrPO5pC1iPcVkcOVVGdncmZLRuiEFThKF3hpueY6bMAHruPRLSkmG6tbEpffJSkuN0H4iTUNPIEurWEUtJSYDI8dEtLtv333QnbSnT4tqrN966394+PHH8O6HH+LBRx/BGo5njLgxM7e9bGZIIh5bNWmKIw7uj/TkFNKPwY0r43wB+6O6daJYJ42lnQmf0rS1i9OK/KH4EgqsHPKRBFbLrOaQcPc9Dz7LN46rtBFBWTxWBb9X0UZI0oMI0aBIrdQe+aqVq5zlN5mM2bJFC3TgjCyjkpAUlGtmJFzPrbd1EGr/fffDnnv0Ro9durvB6tmjB3butrM7FZlKhjdsvDRzaPlRSJuGXMWYeRBTbArMzMWJuT3z4OteAOMfNglCgMCAX8RjsxclAImcP/dci4yLY2kP8ViX8JOdvcQxkAxZ6dQkSMm/KLt8Xb91v6EJQYINARs9QVTgKsbMYGbybgAzc0K9GW1NUq0zMzOhFAJs4hKRC6RSf0Dbj7QMLf10CGnWzFnQ7P7ztGn4cfx46CnhN15/HbJnKY8ETfkihZf89fmYxK3oD8mQehBPh+2mTJlKXH2NMaNH49PPPsMrr72KZ4cPw3jaoCQoYiyohIJDuxM/T5+Or7nlm5qejhZcauqdJtIedBxbuw0+BaORYWdy2aHZXUsSMaAYdC8KKAkQzf7SiEQ/emzgpJNOcstM4YNVQRqVjsQ/RgPnz9N+RjE1jQBHZvTxp/KkWZ9w3PFx7YC0xmCHT5UhUN377rsvTuHyTztFol8JDGlBmlSVRlqIllZKq6VyUIZc4Uv2D/GA0upeblUA8UuF2qGO+B5nBEpHzaSfc1ZVp9bn5bn89aima20vgkzjLG9mMCtd87oUgAbKzNydmW24V7jALB6H0iuP608RbSQccTYLRQtKo3eYYzB45rkDZM2bt4AMWDoQ1pFCU4OstbJsKMJHc6ryKL12xMAHdZqx1QTZibRNKU1QzRKTyy0LyhPAGApD7QqVFBbhow8+wOPcbRlMeOTBh/DIQw/hsccew4gXR0BMGjBD2bLi/hgkSObNnYv333sX03/+GbNpRB5K4/V/yZxPPzUEQ4Y8hacIL3IHSpqCXgFQmwZcl5+SQ4LgRe5a6UHEdm3aQsJPNCOmy6W2UZfG+FQu0aTSZ2dno1GjRtCSRAyuMjpwebnbbrtBGohsDWqPmFWPDUgYSrho+bCCmogYfBoFhuJCXDaDeFMZAQg3bqlC21FIgqpcvNIpXIKoBSdT2fhk21BbFa5zJapf7ZAQk8DIyspSNgcqX6CxCuwaLqKK/Ku40HCIMac61atbH4fSCKhTmHoM3AAabtIhTULSW51l0IafmUEDbBZ3Az94mSk3PZv4GeJ/GtwI1UzdbSLZdg8iDbs6pe5Xl70hI9MZrUqoRv9EVVknJw+ioUyEKqIVQboMO+ifmbmaA7ybmRsP3Ys4Ue4yMxevONkFmmdlYY9evbjuroPqXPpFuKTR+l/LxDBV6QacMDSTi/CVB7wCl143iiI0qePKv/eeezlNszZtPJkZGWjYoAEak8mzmmWhK5ewBx9yiHs0oFpqNSppMUSpaUjQaXv1qCOPQh8uaTMzM2Bmzlam9km7FUMuo0FdAkx0qTxm8b6L+fQcjbY+5ZewVHqNjZlB9xL4DWjMbNWqpTup2YxamSYsNkLd2ABm5vCj/MKhWbwOlF5m5vhEZQfxKluCQoJVAkf4UX71SbgTfStMAF7KKz5SGt66vsqtCuBVtBFmccSoE0JmfxoW9+NSownXduqg1szac5aWoXuVa2YOuQHizMx13uzXLjZxRbj9GAqH3B62dl9iXBfrt4mk2z1Igyvh4drkao9BFvsvRn8JrZ+7devmCEd9F5jF++ySbsd/ZvaL2szMjYmZubFQ21DuUphAY92LwuJi7uqce9Y58R0a7fqccw4uPO98XEC/3LPPPNO9XkBjr6LMjHwm7OguDiEKmhYUCjJSn8udpLPOOAPnnnUWzj7jTJx52uk4k0btM06ny/sTTzgRHWhwVhuM2UVPMmb2J80dzh2sZlnNEAqH4XseOnbqRKP4QGRlZeGHcePw3PDh7mXLrVq1gjQIlRGA0uhkqzQIMaTCzQwqX34d8NKrGy+64CJceOFF0G6JhD4RhbKX0gqUz8wYbWWjnV/xwp+ZuXhpG9qNk+BSmQLZPPbbbz9I8zAzl0//zMzlKe/XfVWACguN8o01i3dMyBGYmSPGAJFBGH7HxRqcWqvtPknp31HUH56V3XWMoRkkJycHc+fOw0cffUgDY213RFqzWdlKzazs7Q71m9kGotQ4lW+MmbkgxekcxU7td4J2kLp07IT2XBpoPd+J6r4etOvWuYvbVWrE7U8zczRgZhvKR+kle08GDdYyArbh9ndr2iTacPepTavWUFhrhslt2bIFVJbDH41GxiWxaEqgMNnPfM+HlodmHupwJ0qHp2TsZK3QskY7PNLyJBhUvZlBffGpFUn70ExflqHBy8zccrMb7Wu99+yNvjTU6xyI53swxlf2ZxbP5Xmeq1sTqrQKLWEVJqGh5YsEldpltjG9WdxvZjCLQ2Xr35bpvW1Z+O8tW8g1M9oMCqHDL2YGYhE7/oohSoKW9qO1qrYb16xZzZmtOvod2A+y75ixrTu+oVvdAjNzAltq+6YKkaZFqQmB/BLqsgXIL9hUHqU14k12B6Ux6A/8H4DhV5cUFuZRuNkv46Nctig8ztiGNm3b4Mgjj8RBBx0EGeTNfpleactD0D+zeFoxMOg30z1B9ZfPtBX3ZuaEh8o3i/tR7hJOBAo2M5RtmxnboogqABUWGmqyEm8KFLct+hLi0iSZOzNmRnqLEbZFLVtTpkF/JcVFWMYtQJ3YbN+2HfoffLA7SKZ1/qZKDQhiU3FVKUztFMFKg9IBqVhUuN80RBknY7gMpjJUyrgX5C/bpyjtPStXrMCMGTOwLncdhQ1jxZABEKOswYWvXbMGeur0nXfexeTJk9yDZIh2TqoAABAASURBVKI7UgHkBuCb53JJEPmkkdSUaqjJbXgtBQLmZC2b/ZnZhngzY3n4xa6bC9iQYus9wkmQW5Nh4A/cID5wlUY4kzAOwoK0O9r1KtMAJf4tsMoUVMG0YVqu/ZBPtTEFEa5hHUWVzjoVLGKbJROhyhgY5W5S00aNcVj//u7QVxIFnc5NaNDLVq6BF4gQ5ArKxm8H/yar2FQ7RKhqp84V6DCSth11JiOfW986Eq93qJRwHOQWc7bPLyx0T3Fq61VH7TdVZrSkBNncitaWq7Ya1RjVEWP+GAWKg5IojPe5q9dg/Pc/4PVXX8V3X3+DgvXrfyEsAhrU1roOC4Y8H2Hfh+95G3jcjCKGbVQ9mwMzg5m5JGbm/GHWFqFACs5emIv9ff/MDKIJs82XZhaPj7HtAo2FXAGqyOVVkXZsshnmEYH86fkNEZjBgFKkYgdebAWbYUhOSsIuXANfcP756L1Hb1TjTOeZBxGHV66dZubUTW1Tyw6yo5ov4hME9ZupN8Fd3BWuc3Nz3ftAzAzFZPjl1BJ0TkLnNPSFteWrVmLBwgUooWVa5yX0/IZya4vc9Z8MrHuB6tMJz5mzZkKCJyklBdnLlmLKz1MxecoUzJw9Gzprodf9acknu0NrGjKTwmFI65BAYTUw/qm8AIwe1eV7HszMge7N4n4zY4ot/8zM5VVK4z/vF6AQBvzOn1m8HLO4W744s43hwr/ALB4m/JVPvyPvhZ8dWf9m6y4qLIJAR38lOGJxHG42z/aKNDNu90WgnSQ9syKDlpk54jOLu+XbYmZxgUIix3a+RHgiRIH8m6tejKcDUDqEpXSa7XTa8/Y7bsfNN9+M66+/DjfeeCOGDRuGkuISCs9ktGzZEto9UdlmxqWk1h3KDedfsHgRPh87GmvX52FNXi5Gvvoybrr9Vtxy5x246bZboKd7P/rkY7dTpi127SjIqOlTg1B7VJLKlrs5MIvj3myju7n0VS3OLN5u9VVQ1dqn9nj6V1VBRkbNzNrDlrUbXD+TAqtEc83igyuillVfjLWlhon4lV6umW0p+R8SL8KToFD7ZKgU6H5LhesdFDrspENSoZBP1Mfcqw9k51jN5cP8+fOwYuWKeDHsi+rRjfqn8oN7hUWpauesXg29v6N6rZqIURAUM2L1unVYvjqHsAp6j4gmhgA30sY09mYVx5OZ/UJomxlr+XP9hDszc/3QmAmPZnEhLH9V6E2VFho6p6FtMwkMopGEG6WWunEG24YI3GLRZmwRQUyi9onYt5TJzHaIpmEWr7eibTUz9/ChBEx8tg9BR6GvuvIqXH755bjqqqtw9dXX4KSTTnbalohbx7llA5GwEcOLwAViAgl/LWvCycnc4Wjrnjc5mDagK6+6EldefRUuu+JKXHzJJejTp48rT/mys7OhQ3J6daIOmKkcbOFSvvKwhSxVJlrtDhojetJEpPuK9FvptidUWaERo3jQXrYMoXGGDISFbU/8bLYuM3Mzgpk5YYAKXGZWgVR/XBIzc20UDiU0BPJvrgYzgw5A7bPPPtAhKdln6terj1177oruu3SHDq712q0XunTuAlce0+vsg+waWqJIaKh8CRM9cDV//nzM4q5J3Vq10axxY1TjjlgzGo/1RPEeu/ZCL5bbc5ce0PdiVJ6ZQSc8dbrYnZXgck7MI1C5mwIx3aZgU2mrYpjaLnypjwK1UfRvFtcyzExBVQKqrNAQdmRUkz0jKSniiFNhVQd1as1fF3beeWeceuqpqF+/vhOIvue5MZDACYy9YnBhQMfps7Ky3BvZJWi0nBThS3jomZGXR47Egnnz0aNrN/dUaIjyP8Ly9JRxsudDoHuVa2ZOyElo6b0lenm0zlyoXjNTdZsFMV+QwGzL6YO0O9oVvnSIUQJWO1bjx4+HnspVuNqmfplVjf54alBVAqFFoDYJiXpJidbWS5YuwYoVK7HhIzdKkIBtggERqHYwmjdvHn+DFGvRmPwmkJh14lGCQ+DTZiEml6szEzvttJM7w7I7NQq3Hc3yfBg3NrEBzHgvoDAxM+gIuOwpeuhMWozKMzNs7lK7AzAzmNnmklepOOFKy0E9Pf7OO+9AyzKdclW/q1RD2Zg/QmiwmD/mpyFWgwQ+i0yJRKAHiFYuW46hTw3BfwcPhp6UZFTitw0xIEIVEZd1y46NxqcsmFlcG6GwkJYR5NXaXLsg0hb0Dk4tOVyZng8teVDmUvlm5hjdZznKq7QCMyuT8re9ZubaYWauHGyjKxBMcv+oKswMEo7S8PQ4/aWXXgo9EKpj/KpDeJBbFcCrCo0o3wZjgAdDZvUMHHH4P3AVDWWDTjkVBxxwgDsezOjEbxtiwEwjsLECM+NoYLMgoi4LZuYYWOtyPWMhzSEQBOYZwHiUu8yMwZsGlW1m5XJsvDUzBGnkYhtesj1o6SVXy4c/QniYmdPqJCR69OgBvVdU9hzhbVv3p7Ko8iqbYXumF8HpfQR60rIPLet6w5LU5u3ZhkRdFceA2UamNtvoVwlm5gSC/NsSzGxbFu/KFhNLG5Jr9sfVZ2YOR2ZxV5WZbfTrvipAlRYaGhSBZigJELlmVhXwlmjD3xgDZuaYWyj4I7QMlbM5qGpxVVpoBANi9stBUrigqiFzS+1RmwVbSpeIr9oYMIvTo9lGd3u1WPQTQEXrVPogbeCXKwjCK+NWaaFhZq4v6pxAN1pDCnSvNaVchVd1UDuDdgeuwqp6uxPt2zQGzMxpG2a26QTbIFR0I5oPoKL0o3RBXrkChW1tE6u00FDHBEHn5BfCtDUlfxD+Z3KDAZNrtv0I7s+Eo0RbN42BgObNzAms4H7TqeOhSmNmEN/IHw8F5BcNBveVcau80FBnzAzqoI4W60MzOqqs8PKIUFhVBg1UAGbmBq4qt/fP2La/aptFN+qbaF68YBYXHAr7LQjymMXT6lke5dWkqzzyB2l0X1Go0kLDzFw/1Dl59EKY0aNHu5Ny6qzC5SquqoMGTK+wX7RokRMWaregqrc70b6qgwG9ufytt95C8KKjitKP+ESHxfTpUn1FQE8wq1dmcf6SvzJQ5YWGmTlVTBJWmkZytRQkp6RAL4D5btw4TJo6BfqGhl4SU1BUhKKSEvfdVL0DQk9NuvuSYhRHS1BQWMD4YqeqCZEqU/vtm/NLKiu+MkhV2hhi7j0U+oar2pq7Pg9fffM1Rr7yMhZQcERjUSWrEIg4AqhQhkSiPz0GYuyBKKSEdCTa1lffRn30EeYtXIDkatVIxyXIzcvDnPnzoE+a5uXnYz3pO7+wEDNmz8JHn32Kd95/H+Mm/Iic3LVISU9DnXr1oG8o/zR5MvIK8t27UFhNpX9VWmioN2Ymx30HU0876jmE1Orp0Ne3Rn04CouyFzsE6itcQrA+rjyZguT78eMcUguLi5gmG2+98w6+HDsW2UuXQoJCherjPnpPxKeffgq9O0JLn3fffRdvvPEGJNH13ITSSbjIrQzEOOr6SLDeARLlwKdwoOs3bIj5ixZCH6HWgFMaVqhICQy1WdrK1giwClWSSFS1MEAC0liXRKPQW9ImTPyJk81C95Sw6F/vHrnuxutx5dVXQx8711PEEjITJk3Ek0OG4P4H7sftd96BW26/zX0CU8cVdu21GyIpyRj14QdYvnKlOwxXURosi5wqLzTEMGqwvky1Zu0aNGzYyB23ffOtN1FYWOTuk5KSncqvL7cP/u/jGDZ8OPSB4XxK3kmUqo888gj04V19VX7o0KFQWWLCjyi577//frz00kt46KGH8MADD+D555/HWAqXIUS8BInq1lkRuZWBGAWFNJ38/AL3YhnP96GDai1atMS0adORvSS7wuNlZkwbh8q0YUtpE/FVFwMxNk00RAdaTkycONE9MNi2XTvojXENGzVC06bNkJOzCvPmz4debi1emTt3DvRNmOOOOw56K7u+AaMv4a2jVlKnTl3ojWgTKYAUrtfTqPzKQpUWGkKCQJ3S0iTGXupI8qqcHEwn4+n7IvpQj5C7aOEi9yappUuW4qCD+rlvVugsv95bqc86/uMf/3DH0N8fNQr6gpfeUynhoK9unXPOOe4NXLI5HHnkkRg0aBD0mLfeJWFmqr7SoDdazZg+HSNfHgkNeIwzhtqj9q7LW4f58+Y7QVfRgnUCUbOF2da1p6L1JNJVDQxolA00lrM5okvRvx5gE03q+Z4WLVpA30zRd4fEE3rbmXilR/ceGDDgGNL6gdBTwnpKOS9vPbdLAM/30KZNWzfZiv4KuKTBVlxVWmioP2YmB9IihJwaNWtg2s8/uyVGQ6r7ScnJkN3h8y8+h95B2bdvX3Ts2AmZGRnIo3SdxfVdp44dKZWbQo9th0MhTCMzJyUlQdL46KOPhp7m1Hsf9HCVHqzSk5oXXXSRk9Sq3Mzc7o2WKVIZNThydS9/AAoT5HMwJCgeffRRjKKQyl68WMUgFA4jIzPTzRzSNoxE4SIq8M+MqUuhAskTSf7kGHCaBpcooi0JjNVrViODNO0mDs9DSnIK0lLTHF2KlvUeE8Vp+V63bl1IiIg+dZJaE1VScpLDiD46lUyemTtvLvJp13DSxMVU/J9X8aTbP6UYUKClhBCn76XKNjBz1izXGCFK8VK19OHe2bNmQ48Vv/DCC5gzdy5mzpiB7MXZEFIlndNSU6m6ZUJbtmbmXiajx68D24a+eKWBEVIloSWkPA6QKpM9JYcajtqh/IH0l1/51Ual0yCbmdvhmTtvHvRpwabNmiFKAtCgqny9N2LpsqWQoFKeLYFZQmBsCUd/tXhTh/hPb3EX3ekzEUmRiFuimBkXvzGEIiEnHKQ1awnje56L19fsimgQ1U5J0yZNoVcTxD8FQmFDm4Z4QUt9TbbYiqtKC42AYWWDEFJq1qgBredyVq0icjyIuaW2aytqwfwFXJYchCOOOAJ6kcngwYPxxptvIJeW40gkCWYcAUKt2rWpnhU6VIWodUjo6JsdKktf6lKYi+Q/M3P59Gbu++67j2rfAJx00kkOBg0a5Fwtba655hpXJ7O4nwZDUjwpKQK96Uov3Y2WyEwFttuPv9KOSy2f9SNxJTCwKQyU0h7nGoh25BqFghkFhm6YJ399PrXWXOidJVr6xoMN4E/bsgsWzHfL9BbNm3PSojmeO3YGz+0eavksTSSeB5W6qrTQUE/E1FqaSOXX+xj0mYBQOMQlSYlDpgTLfG47iVG7du0KvYKuL5coc6lpTJkyFfk0RCqNNIBwKCx8IpU7GSrXLD4Ak2ks1b2WJqrTjFiXpxQ0IHq3wS233IJ///vfzmB6zz334N5778Vtt92Gyy67DFIJ1QbVU8itX70vUxpFJy6Vkii0pCaqOLVFgs4P+ShXjaITkMDABgyIoWWHqF27FjWKZLfcFp2axelT2q1oqbCgAAWk8yiFQnFJMUTPw597Di2at4Delr+QW/zrcnOhXPlcOhdwg6BWzZoIb+WkVeWFhpm5r3JJrW/UuDF82gWqcZnoFd6sAAAGPUlEQVQhjUBIMvPQpGlTJHHNJiSKOTPS05HKNd9xxxyDNi1bYvGCBSguKMRS2hbmcGmjt0FFIhEncbWtqkNjTZo0QVZWlgvTwGwYOXpUlwxPekFKz549nbonraQjbSVS/fRqOq0hmRTKu3TJEnz37XdICocR9j33xS6f/fC4UC3k7BClUKmVmQmPbVeeBCQwUB4DmnxITNCbzurXrYf0amlYtXwFikg/oNaaT3vd9KlTGLYMY8d8gS+/+BTraPf4esyXeOTB+/Ht12Px3HPDcNUVV+CB++7F3NmzES0qRvbCOC+0pCE1nTYRCZLydW/pvsoLDQkCvek6LS0NeqWcJG+1tDTkFeYjN389iqLFaN2+PRpQoHxCY+joMaPx1htvoBmFQM8ePTGAhs4fx43HyBEj8PBDDyE1pRrE+BoUvYdRxkppBXofYyHXgRIQHtXA8ohTuASNQIJJ92XB93239DAzNyMsX7YMuWvWYiGXTcUUEiKAErrLKFB8CousZlmV2j0p357E/V8bA2JmgcduNqbBvwUntDW0qWlC0k5czooVWJK9EA0b1iatN0DOyiVYs3o5UpJ99OzRFUce0R8H7NsXe/TqhT577o2GDRpC5c2cMZPpm6AVhUYSJ04zhbKSSvzUpkokr1jSPzKVGFpGSL3BKIXLCiPDdezUicI2BgkTLQWkah1/wgnQB4vefudtCpc0DBw4ELIa79l7TwwYMAA6RivG1iv49YZtszhzy96gtFqaaI0nTUGwqT6YbRrBZhvDJXCksZx11lnQDswee+yBCDUOla3dHBlQpTVpS1dpN1VPIiyBAWFA9GFm0PK4E2lek9T8+fO54RFzb2s/ZsDRuOG663HTf/6DY48diHr16qBTp444lrR/2qBBOPPMM3HGGaejf//+EI/oEQa9g1STaYP6DaBLk6fcykCVFxpCkt5KLpuBbBEhagHtudfcrk1rzOF26trVq5EUCqPzTh1wDhn1umv/hQsvuAA6w5HEbVXta/fp08cxsL7Xoe93yOipAdEr1WSrOPXUU3EB80ibMTMoDpW8zMzlMzP3UlzVozMg2gJTeRIaMtjO4I5Ohw4d3GsLt2bAkLj+FhgwM5iZ66uZoUuXLu7YwIQJE5zRXTSVmpqOWrVqow6XLxkZNbhLmEIBk4q09Oqonp5BA2kGMqpnQHStnbrXX38dmVwW69MQ0to1iZrF63AVVfBflRcas7kWUwd1hkKvyle/UpKScXj/w7g+W4wJ4390HwhOSU5GJhFUh7sjQoxsDEKKtAYtJ2RhFsivcDOD0iitZv4gbmsZuWw+DaiWMSrfzNzgS8uQ0NABnX333Rdqh9IhcSUw8BsYMIvTjqI1+R100EHQJ0Djk55PuhKEaBsLw/ciMPiIRcXSBphHfwxG18wgWpOw0NkkGUfBS7xBp9I/1VDpTNsjg5hQyw9JVjG5mNrM4BPU6J3atsMxRx0NGYkMDCck0RoswSIEKY9cqXTyyw1A92Ja3Zf1g5fCzIy+yv3MDGbmBkf1li1Xfg26toO1RVu/fn2oHiSuBAa2gAEzg+hH9KKDWdKOG9LGoUkpHI4wjkLD80l3Pv1h0hXBjyDk0w1FGOYzznPar2x5WppruSP692mHw1Zc3lbk2W5ZpNJrl0KdlTagio3/PCJSbheu87p27kzLcjXI0OibB4Wb6T8T8mcW95vFXQa5n9nGezODmbnwbfVPgy6tRiC/2batb1v1I1HujsOAJqOA2c2MNOuxMT5BbgC6D8AYF/+ZmdNuJSjMjHktHrEV/1XTVmTbPllkD9DsvPvuu3OtVm1jR7mBrS5HaP3VXrMQITAzCLGoopeZbexDFW1jolkJDGwJA1VaaEgAaFki24D8WrIUc69ZW07SKjzzIACFiMJ0cg6xLXU5EZ/AQAIDvwcDVVZomBkkKARmBl3yR5Ii8Hwf5nvwuJMCRpkZPN8neNA9ElcCAwEGEu4fjgFy2R9e5jYvUMLCTNICMJNLQOJKYCCBge2BgT+l0NgeiEnUkcBAAgObxkBCaGwaL4nQBAYSGPgNDCSExm8g5m8ZnOh0AgMVwEBCaFQASYkkCQwkMLARAwmhsREXCV8CAwkMVAADCaFRASQlkiQwkMDARgz8PwAAAP//LFcWegAAAAZJREFUAwCR/j7xh7tqggAAAABJRU5ErkJggg=="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647700</xdr:colOff>
      <xdr:row>22</xdr:row>
      <xdr:rowOff>19050</xdr:rowOff>
    </xdr:from>
    <xdr:ext cx="2809875" cy="107632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657225</xdr:colOff>
      <xdr:row>9</xdr:row>
      <xdr:rowOff>123825</xdr:rowOff>
    </xdr:from>
    <xdr:ext cx="3400425" cy="1323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22"/>
    <col customWidth="1" min="2" max="11" width="11.11"/>
    <col customWidth="1" min="12" max="12" width="7.78"/>
    <col customWidth="1" min="13" max="13" width="18.0"/>
    <col customWidth="1" min="14" max="14" width="25.11"/>
    <col customWidth="1" min="15" max="26" width="11.1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>
      <c r="A2" s="2" t="s">
        <v>9</v>
      </c>
      <c r="B2" s="4">
        <f>7*16</f>
        <v>112</v>
      </c>
      <c r="C2" s="4">
        <v>0.0</v>
      </c>
      <c r="D2" s="4">
        <v>0.0</v>
      </c>
      <c r="E2" s="4">
        <v>0.0</v>
      </c>
      <c r="F2" s="4">
        <v>0.0</v>
      </c>
      <c r="G2" s="4">
        <f>13*16</f>
        <v>208</v>
      </c>
      <c r="H2" s="4">
        <v>0.0</v>
      </c>
      <c r="I2" s="4">
        <v>0.0</v>
      </c>
    </row>
    <row r="3">
      <c r="A3" s="2" t="s">
        <v>1</v>
      </c>
      <c r="B3" s="4">
        <v>0.0</v>
      </c>
      <c r="C3" s="4">
        <v>0.0</v>
      </c>
      <c r="D3" s="4">
        <f>5*16</f>
        <v>80</v>
      </c>
      <c r="E3" s="4">
        <v>0.0</v>
      </c>
      <c r="F3" s="4">
        <f>5*16</f>
        <v>80</v>
      </c>
      <c r="G3" s="4">
        <v>0.0</v>
      </c>
      <c r="H3" s="4">
        <f>2*16</f>
        <v>32</v>
      </c>
      <c r="I3" s="4">
        <v>0.0</v>
      </c>
    </row>
    <row r="4">
      <c r="A4" s="2" t="s">
        <v>2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f>5*16</f>
        <v>80</v>
      </c>
      <c r="H4" s="4">
        <v>0.0</v>
      </c>
      <c r="I4" s="4">
        <v>0.0</v>
      </c>
    </row>
    <row r="5">
      <c r="A5" s="2" t="s">
        <v>3</v>
      </c>
      <c r="B5" s="4">
        <f t="shared" ref="B5:C5" si="1">5*16</f>
        <v>80</v>
      </c>
      <c r="C5" s="4">
        <f t="shared" si="1"/>
        <v>80</v>
      </c>
      <c r="D5" s="4">
        <v>0.0</v>
      </c>
      <c r="E5" s="4">
        <v>0.0</v>
      </c>
      <c r="F5" s="4">
        <f>2*16</f>
        <v>32</v>
      </c>
      <c r="G5" s="4">
        <v>0.0</v>
      </c>
      <c r="H5" s="4">
        <f>6*16</f>
        <v>96</v>
      </c>
      <c r="I5" s="4">
        <v>0.0</v>
      </c>
      <c r="M5" s="5" t="s">
        <v>10</v>
      </c>
      <c r="N5" s="5" t="s">
        <v>11</v>
      </c>
    </row>
    <row r="6">
      <c r="A6" s="2" t="s">
        <v>4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M6" s="5" t="s">
        <v>12</v>
      </c>
      <c r="N6" s="6">
        <v>0.85</v>
      </c>
    </row>
    <row r="7">
      <c r="A7" s="2" t="s">
        <v>5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f>9*16</f>
        <v>144</v>
      </c>
      <c r="M7" s="5" t="s">
        <v>13</v>
      </c>
      <c r="N7" s="5" t="s">
        <v>14</v>
      </c>
    </row>
    <row r="8">
      <c r="A8" s="2" t="s">
        <v>6</v>
      </c>
      <c r="B8" s="4">
        <v>0.0</v>
      </c>
      <c r="C8" s="4">
        <v>0.0</v>
      </c>
      <c r="D8" s="4">
        <f>13*16</f>
        <v>208</v>
      </c>
      <c r="E8" s="4">
        <v>0.0</v>
      </c>
      <c r="F8" s="4">
        <v>0.0</v>
      </c>
      <c r="G8" s="4">
        <v>0.0</v>
      </c>
      <c r="H8" s="4">
        <v>0.0</v>
      </c>
      <c r="I8" s="4">
        <f>5*16</f>
        <v>80</v>
      </c>
      <c r="M8" s="5" t="s">
        <v>15</v>
      </c>
      <c r="N8" s="5" t="s">
        <v>16</v>
      </c>
    </row>
    <row r="9">
      <c r="A9" s="2" t="s">
        <v>7</v>
      </c>
      <c r="B9" s="4">
        <v>0.0</v>
      </c>
      <c r="C9" s="4">
        <v>0.0</v>
      </c>
      <c r="D9" s="4">
        <v>0.0</v>
      </c>
      <c r="E9" s="4">
        <v>0.0</v>
      </c>
      <c r="F9" s="4">
        <f>2*16</f>
        <v>32</v>
      </c>
      <c r="G9" s="4">
        <v>0.0</v>
      </c>
      <c r="H9" s="4">
        <v>0.0</v>
      </c>
      <c r="I9" s="4">
        <f>6*16</f>
        <v>96</v>
      </c>
      <c r="M9" s="5" t="s">
        <v>17</v>
      </c>
      <c r="N9" s="5" t="s">
        <v>18</v>
      </c>
    </row>
    <row r="10">
      <c r="A10" s="3"/>
      <c r="M10" s="5" t="s">
        <v>19</v>
      </c>
      <c r="N10" s="5" t="s">
        <v>18</v>
      </c>
    </row>
    <row r="11">
      <c r="M11" s="7"/>
    </row>
    <row r="12">
      <c r="A12" s="8" t="s">
        <v>20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</row>
    <row r="13">
      <c r="A13" s="2" t="s">
        <v>9</v>
      </c>
      <c r="B13" s="9">
        <v>6.0</v>
      </c>
      <c r="C13" s="9">
        <v>18.0</v>
      </c>
      <c r="D13" s="9">
        <v>6.0</v>
      </c>
      <c r="E13" s="9">
        <v>12.0</v>
      </c>
      <c r="F13" s="9">
        <v>24.0</v>
      </c>
      <c r="G13" s="9">
        <v>18.0</v>
      </c>
      <c r="H13" s="9">
        <v>24.0</v>
      </c>
      <c r="I13" s="9">
        <v>30.0</v>
      </c>
    </row>
    <row r="14">
      <c r="A14" s="2" t="s">
        <v>1</v>
      </c>
      <c r="B14" s="9">
        <v>0.0</v>
      </c>
      <c r="C14" s="9">
        <v>6.0</v>
      </c>
      <c r="D14" s="9">
        <v>30.0</v>
      </c>
      <c r="E14" s="9">
        <v>12.0</v>
      </c>
      <c r="F14" s="9">
        <v>24.0</v>
      </c>
      <c r="G14" s="9">
        <v>18.0</v>
      </c>
      <c r="H14" s="9">
        <v>24.0</v>
      </c>
      <c r="I14" s="9">
        <v>30.0</v>
      </c>
    </row>
    <row r="15">
      <c r="A15" s="2" t="s">
        <v>2</v>
      </c>
      <c r="B15" s="9">
        <v>54.0</v>
      </c>
      <c r="C15" s="9">
        <v>0.0</v>
      </c>
      <c r="D15" s="9">
        <v>30.0</v>
      </c>
      <c r="E15" s="9">
        <v>0.0</v>
      </c>
      <c r="F15" s="9">
        <v>24.0</v>
      </c>
      <c r="G15" s="9">
        <v>18.0</v>
      </c>
      <c r="H15" s="9">
        <v>12.0</v>
      </c>
      <c r="I15" s="9">
        <v>30.0</v>
      </c>
    </row>
    <row r="16">
      <c r="A16" s="2" t="s">
        <v>3</v>
      </c>
      <c r="B16" s="9">
        <v>18.0</v>
      </c>
      <c r="C16" s="9">
        <v>30.0</v>
      </c>
      <c r="D16" s="9">
        <v>0.0</v>
      </c>
      <c r="E16" s="9">
        <v>24.0</v>
      </c>
      <c r="F16" s="9">
        <v>12.0</v>
      </c>
      <c r="G16" s="9">
        <v>6.0</v>
      </c>
      <c r="H16" s="9">
        <v>12.0</v>
      </c>
      <c r="I16" s="9">
        <v>18.0</v>
      </c>
    </row>
    <row r="17">
      <c r="A17" s="2" t="s">
        <v>4</v>
      </c>
      <c r="B17" s="9">
        <v>48.0</v>
      </c>
      <c r="C17" s="9">
        <v>60.0</v>
      </c>
      <c r="D17" s="9">
        <v>48.0</v>
      </c>
      <c r="E17" s="9">
        <v>0.0</v>
      </c>
      <c r="F17" s="9">
        <v>42.0</v>
      </c>
      <c r="G17" s="9">
        <v>60.0</v>
      </c>
      <c r="H17" s="9">
        <v>6.0</v>
      </c>
      <c r="I17" s="9">
        <v>24.0</v>
      </c>
    </row>
    <row r="18">
      <c r="A18" s="2" t="s">
        <v>5</v>
      </c>
      <c r="B18" s="9">
        <v>30.0</v>
      </c>
      <c r="C18" s="9">
        <v>42.0</v>
      </c>
      <c r="D18" s="9">
        <v>30.0</v>
      </c>
      <c r="E18" s="9">
        <v>36.0</v>
      </c>
      <c r="F18" s="9">
        <v>0.0</v>
      </c>
      <c r="G18" s="9">
        <v>42.0</v>
      </c>
      <c r="H18" s="9">
        <v>48.0</v>
      </c>
      <c r="I18" s="9">
        <v>6.0</v>
      </c>
    </row>
    <row r="19">
      <c r="A19" s="2" t="s">
        <v>6</v>
      </c>
      <c r="B19" s="9">
        <v>30.0</v>
      </c>
      <c r="C19" s="9">
        <v>42.0</v>
      </c>
      <c r="D19" s="9">
        <v>30.0</v>
      </c>
      <c r="E19" s="9">
        <v>36.0</v>
      </c>
      <c r="F19" s="9">
        <v>24.0</v>
      </c>
      <c r="G19" s="9">
        <v>0.0</v>
      </c>
      <c r="H19" s="9">
        <v>48.0</v>
      </c>
      <c r="I19" s="9">
        <v>6.0</v>
      </c>
    </row>
    <row r="20">
      <c r="A20" s="2" t="s">
        <v>7</v>
      </c>
      <c r="B20" s="9">
        <v>36.0</v>
      </c>
      <c r="C20" s="9">
        <v>48.0</v>
      </c>
      <c r="D20" s="9">
        <v>36.0</v>
      </c>
      <c r="E20" s="9">
        <v>42.0</v>
      </c>
      <c r="F20" s="9">
        <v>30.0</v>
      </c>
      <c r="G20" s="9">
        <v>48.0</v>
      </c>
      <c r="H20" s="9">
        <v>0.0</v>
      </c>
      <c r="I20" s="9">
        <v>12.0</v>
      </c>
    </row>
    <row r="21" ht="15.75" customHeight="1"/>
    <row r="22" ht="15.75" customHeight="1"/>
    <row r="23" ht="15.75" customHeight="1"/>
    <row r="24" ht="15.75" customHeight="1">
      <c r="A24" s="1" t="s">
        <v>21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9</v>
      </c>
    </row>
    <row r="25" ht="15.75" customHeight="1">
      <c r="A25" s="2" t="s">
        <v>8</v>
      </c>
      <c r="B25" s="4">
        <v>30.0</v>
      </c>
      <c r="C25" s="4">
        <v>30.0</v>
      </c>
      <c r="D25" s="4">
        <v>30.0</v>
      </c>
      <c r="E25" s="4">
        <v>36.0</v>
      </c>
      <c r="F25" s="4">
        <v>18.0</v>
      </c>
      <c r="G25" s="4">
        <v>42.0</v>
      </c>
      <c r="H25" s="4">
        <v>48.0</v>
      </c>
      <c r="I25" s="4">
        <v>18.0</v>
      </c>
    </row>
    <row r="26" ht="15.75" customHeight="1">
      <c r="A26" s="2" t="s">
        <v>1</v>
      </c>
      <c r="B26" s="4">
        <v>6.0</v>
      </c>
      <c r="C26" s="4">
        <v>18.0</v>
      </c>
      <c r="D26" s="4">
        <v>18.0</v>
      </c>
      <c r="E26" s="4">
        <v>24.0</v>
      </c>
      <c r="F26" s="4">
        <v>30.0</v>
      </c>
      <c r="G26" s="4">
        <v>30.0</v>
      </c>
      <c r="H26" s="4">
        <v>36.0</v>
      </c>
      <c r="I26" s="4">
        <v>30.0</v>
      </c>
    </row>
    <row r="27" ht="15.75" customHeight="1">
      <c r="A27" s="2" t="s">
        <v>2</v>
      </c>
      <c r="B27" s="4">
        <v>30.0</v>
      </c>
      <c r="C27" s="4">
        <v>6.0</v>
      </c>
      <c r="D27" s="4">
        <v>6.0</v>
      </c>
      <c r="E27" s="4">
        <v>12.0</v>
      </c>
      <c r="F27" s="4">
        <v>18.0</v>
      </c>
      <c r="G27" s="4">
        <v>18.0</v>
      </c>
      <c r="H27" s="4">
        <v>24.0</v>
      </c>
      <c r="I27" s="4">
        <v>18.0</v>
      </c>
    </row>
    <row r="28" ht="15.75" customHeight="1">
      <c r="A28" s="2" t="s">
        <v>3</v>
      </c>
      <c r="B28" s="4">
        <v>30.0</v>
      </c>
      <c r="C28" s="4">
        <v>6.0</v>
      </c>
      <c r="D28" s="4">
        <v>6.0</v>
      </c>
      <c r="E28" s="4">
        <v>12.0</v>
      </c>
      <c r="F28" s="4">
        <v>18.0</v>
      </c>
      <c r="G28" s="4">
        <v>18.0</v>
      </c>
      <c r="H28" s="4">
        <v>24.0</v>
      </c>
      <c r="I28" s="4">
        <v>18.0</v>
      </c>
    </row>
    <row r="29" ht="15.75" customHeight="1">
      <c r="A29" s="2" t="s">
        <v>4</v>
      </c>
      <c r="B29" s="4">
        <v>60.0</v>
      </c>
      <c r="C29" s="4">
        <v>0.0</v>
      </c>
      <c r="D29" s="4">
        <v>60.0</v>
      </c>
      <c r="E29" s="4">
        <v>6.0</v>
      </c>
      <c r="F29" s="4">
        <v>48.0</v>
      </c>
      <c r="G29" s="4">
        <v>24.0</v>
      </c>
      <c r="H29" s="4">
        <v>18.0</v>
      </c>
      <c r="I29" s="4">
        <v>48.0</v>
      </c>
    </row>
    <row r="30" ht="15.75" customHeight="1">
      <c r="A30" s="2" t="s">
        <v>5</v>
      </c>
      <c r="B30" s="4">
        <v>36.0</v>
      </c>
      <c r="C30" s="4">
        <v>36.0</v>
      </c>
      <c r="D30" s="4">
        <v>36.0</v>
      </c>
      <c r="E30" s="4">
        <v>42.0</v>
      </c>
      <c r="F30" s="4">
        <v>0.0</v>
      </c>
      <c r="G30" s="4">
        <v>48.0</v>
      </c>
      <c r="H30" s="4">
        <v>54.0</v>
      </c>
      <c r="I30" s="4">
        <v>24.0</v>
      </c>
    </row>
    <row r="31" ht="15.75" customHeight="1">
      <c r="A31" s="2" t="s">
        <v>6</v>
      </c>
      <c r="B31" s="4">
        <v>42.0</v>
      </c>
      <c r="C31" s="4">
        <v>42.0</v>
      </c>
      <c r="D31" s="4">
        <v>42.0</v>
      </c>
      <c r="E31" s="4">
        <v>48.0</v>
      </c>
      <c r="F31" s="4">
        <v>30.0</v>
      </c>
      <c r="G31" s="4">
        <v>6.0</v>
      </c>
      <c r="H31" s="4">
        <v>60.0</v>
      </c>
      <c r="I31" s="4">
        <v>30.0</v>
      </c>
    </row>
    <row r="32" ht="15.75" customHeight="1">
      <c r="A32" s="2" t="s">
        <v>7</v>
      </c>
      <c r="B32" s="4">
        <v>48.0</v>
      </c>
      <c r="C32" s="4">
        <v>48.0</v>
      </c>
      <c r="D32" s="4">
        <v>48.0</v>
      </c>
      <c r="E32" s="4">
        <v>54.0</v>
      </c>
      <c r="F32" s="4">
        <v>36.0</v>
      </c>
      <c r="G32" s="4">
        <v>12.0</v>
      </c>
      <c r="H32" s="4">
        <v>6.0</v>
      </c>
      <c r="I32" s="4">
        <v>36.0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11"/>
    <col customWidth="1" min="2" max="6" width="11.11"/>
    <col customWidth="1" min="7" max="7" width="10.89"/>
    <col customWidth="1" min="8" max="9" width="11.11"/>
    <col customWidth="1" min="10" max="10" width="21.44"/>
    <col customWidth="1" min="11" max="11" width="11.11"/>
    <col customWidth="1" min="12" max="12" width="23.44"/>
    <col customWidth="1" min="13" max="13" width="24.78"/>
    <col customWidth="1" min="14" max="14" width="33.0"/>
    <col customWidth="1" min="15" max="15" width="14.0"/>
    <col customWidth="1" min="16" max="16" width="21.44"/>
    <col customWidth="1" min="17" max="17" width="21.89"/>
    <col customWidth="1" min="18" max="26" width="11.11"/>
  </cols>
  <sheetData>
    <row r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22</v>
      </c>
    </row>
    <row r="2">
      <c r="A2" s="11" t="s">
        <v>9</v>
      </c>
      <c r="B2" s="9">
        <f>7*16</f>
        <v>112</v>
      </c>
      <c r="C2" s="9">
        <v>0.0</v>
      </c>
      <c r="D2" s="9">
        <v>0.0</v>
      </c>
      <c r="E2" s="9">
        <v>0.0</v>
      </c>
      <c r="F2" s="9">
        <v>0.0</v>
      </c>
      <c r="G2" s="9">
        <f>13*16</f>
        <v>208</v>
      </c>
      <c r="H2" s="9">
        <v>0.0</v>
      </c>
      <c r="I2" s="9">
        <v>0.0</v>
      </c>
      <c r="J2" s="13">
        <f t="shared" ref="J2:J9" si="1">SUM(B2:I2)</f>
        <v>320</v>
      </c>
    </row>
    <row r="3">
      <c r="A3" s="11" t="s">
        <v>1</v>
      </c>
      <c r="B3" s="9">
        <v>0.0</v>
      </c>
      <c r="C3" s="9">
        <v>0.0</v>
      </c>
      <c r="D3" s="9">
        <f>5*16</f>
        <v>80</v>
      </c>
      <c r="E3" s="9">
        <v>0.0</v>
      </c>
      <c r="F3" s="9">
        <f>5*16</f>
        <v>80</v>
      </c>
      <c r="G3" s="9">
        <v>0.0</v>
      </c>
      <c r="H3" s="9">
        <f>2*16</f>
        <v>32</v>
      </c>
      <c r="I3" s="9">
        <v>0.0</v>
      </c>
      <c r="J3" s="13">
        <f t="shared" si="1"/>
        <v>192</v>
      </c>
    </row>
    <row r="4">
      <c r="A4" s="11" t="s">
        <v>2</v>
      </c>
      <c r="B4" s="9">
        <v>0.0</v>
      </c>
      <c r="C4" s="9">
        <v>0.0</v>
      </c>
      <c r="D4" s="9">
        <v>0.0</v>
      </c>
      <c r="E4" s="9">
        <v>0.0</v>
      </c>
      <c r="F4" s="9">
        <v>0.0</v>
      </c>
      <c r="G4" s="9">
        <f>5*16</f>
        <v>80</v>
      </c>
      <c r="H4" s="9">
        <v>0.0</v>
      </c>
      <c r="I4" s="9">
        <v>0.0</v>
      </c>
      <c r="J4" s="13">
        <f t="shared" si="1"/>
        <v>80</v>
      </c>
    </row>
    <row r="5">
      <c r="A5" s="11" t="s">
        <v>3</v>
      </c>
      <c r="B5" s="9">
        <f t="shared" ref="B5:C5" si="2">5*16</f>
        <v>80</v>
      </c>
      <c r="C5" s="9">
        <f t="shared" si="2"/>
        <v>80</v>
      </c>
      <c r="D5" s="9">
        <v>0.0</v>
      </c>
      <c r="E5" s="9">
        <v>0.0</v>
      </c>
      <c r="F5" s="9">
        <f>2*16</f>
        <v>32</v>
      </c>
      <c r="G5" s="9">
        <v>0.0</v>
      </c>
      <c r="H5" s="9">
        <f>6*16</f>
        <v>96</v>
      </c>
      <c r="I5" s="9">
        <v>0.0</v>
      </c>
      <c r="J5" s="13">
        <f t="shared" si="1"/>
        <v>288</v>
      </c>
    </row>
    <row r="6">
      <c r="A6" s="11" t="s">
        <v>4</v>
      </c>
      <c r="B6" s="9">
        <v>0.0</v>
      </c>
      <c r="C6" s="9">
        <v>0.0</v>
      </c>
      <c r="D6" s="9">
        <v>0.0</v>
      </c>
      <c r="E6" s="9">
        <v>0.0</v>
      </c>
      <c r="F6" s="9">
        <v>0.0</v>
      </c>
      <c r="G6" s="9">
        <v>0.0</v>
      </c>
      <c r="H6" s="9">
        <v>0.0</v>
      </c>
      <c r="I6" s="9">
        <v>0.0</v>
      </c>
      <c r="J6" s="13">
        <f t="shared" si="1"/>
        <v>0</v>
      </c>
    </row>
    <row r="7">
      <c r="A7" s="11" t="s">
        <v>5</v>
      </c>
      <c r="B7" s="9">
        <v>0.0</v>
      </c>
      <c r="C7" s="9">
        <v>0.0</v>
      </c>
      <c r="D7" s="9">
        <v>0.0</v>
      </c>
      <c r="E7" s="9">
        <v>0.0</v>
      </c>
      <c r="F7" s="9">
        <v>0.0</v>
      </c>
      <c r="G7" s="9">
        <v>0.0</v>
      </c>
      <c r="H7" s="9">
        <v>0.0</v>
      </c>
      <c r="I7" s="9">
        <f>9*16</f>
        <v>144</v>
      </c>
      <c r="J7" s="13">
        <f t="shared" si="1"/>
        <v>144</v>
      </c>
    </row>
    <row r="8">
      <c r="A8" s="11" t="s">
        <v>6</v>
      </c>
      <c r="B8" s="9">
        <v>0.0</v>
      </c>
      <c r="C8" s="9">
        <v>0.0</v>
      </c>
      <c r="D8" s="9">
        <f>13*16</f>
        <v>208</v>
      </c>
      <c r="E8" s="9">
        <v>0.0</v>
      </c>
      <c r="F8" s="9">
        <v>0.0</v>
      </c>
      <c r="G8" s="9">
        <v>0.0</v>
      </c>
      <c r="H8" s="9">
        <v>0.0</v>
      </c>
      <c r="I8" s="9">
        <f>5*16</f>
        <v>80</v>
      </c>
      <c r="J8" s="13">
        <f t="shared" si="1"/>
        <v>288</v>
      </c>
    </row>
    <row r="9">
      <c r="A9" s="11" t="s">
        <v>7</v>
      </c>
      <c r="B9" s="9">
        <v>0.0</v>
      </c>
      <c r="C9" s="9">
        <v>0.0</v>
      </c>
      <c r="D9" s="9">
        <v>0.0</v>
      </c>
      <c r="E9" s="9">
        <v>0.0</v>
      </c>
      <c r="F9" s="9">
        <f>2*16</f>
        <v>32</v>
      </c>
      <c r="G9" s="9">
        <v>0.0</v>
      </c>
      <c r="H9" s="9">
        <v>0.0</v>
      </c>
      <c r="I9" s="9">
        <f>6*16</f>
        <v>96</v>
      </c>
      <c r="J9" s="13">
        <f t="shared" si="1"/>
        <v>128</v>
      </c>
    </row>
    <row r="10">
      <c r="A10" s="12" t="s">
        <v>23</v>
      </c>
      <c r="B10" s="13">
        <f t="shared" ref="B10:J10" si="3">SUM(B2:B9)</f>
        <v>192</v>
      </c>
      <c r="C10" s="13">
        <f t="shared" si="3"/>
        <v>80</v>
      </c>
      <c r="D10" s="13">
        <f t="shared" si="3"/>
        <v>288</v>
      </c>
      <c r="E10" s="13">
        <f t="shared" si="3"/>
        <v>0</v>
      </c>
      <c r="F10" s="13">
        <f t="shared" si="3"/>
        <v>144</v>
      </c>
      <c r="G10" s="13">
        <f t="shared" si="3"/>
        <v>288</v>
      </c>
      <c r="H10" s="13">
        <f t="shared" si="3"/>
        <v>128</v>
      </c>
      <c r="I10" s="13">
        <f t="shared" si="3"/>
        <v>320</v>
      </c>
      <c r="J10" s="14">
        <f t="shared" si="3"/>
        <v>1440</v>
      </c>
    </row>
    <row r="11">
      <c r="Q11" s="3"/>
      <c r="R11" s="3"/>
      <c r="S11" s="3"/>
      <c r="T11" s="3"/>
      <c r="U11" s="3"/>
      <c r="V11" s="3"/>
      <c r="W11" s="3"/>
      <c r="X11" s="3"/>
      <c r="Y11" s="3"/>
    </row>
    <row r="12">
      <c r="Q12" s="3"/>
      <c r="R12" s="3"/>
      <c r="S12" s="3"/>
      <c r="T12" s="3"/>
      <c r="U12" s="3"/>
      <c r="V12" s="3"/>
      <c r="W12" s="3"/>
      <c r="X12" s="3"/>
      <c r="Y12" s="3"/>
    </row>
    <row r="13">
      <c r="Q13" s="3"/>
      <c r="R13" s="3"/>
      <c r="S13" s="3"/>
      <c r="T13" s="3"/>
      <c r="U13" s="3"/>
      <c r="V13" s="3"/>
      <c r="W13" s="3"/>
      <c r="X13" s="3"/>
      <c r="Y13" s="3"/>
    </row>
    <row r="14">
      <c r="Q14" s="3"/>
      <c r="R14" s="3"/>
      <c r="S14" s="3"/>
      <c r="T14" s="3"/>
      <c r="U14" s="3"/>
      <c r="V14" s="3"/>
      <c r="W14" s="3"/>
      <c r="X14" s="3"/>
      <c r="Y14" s="3"/>
    </row>
    <row r="15">
      <c r="K15" s="15" t="s">
        <v>24</v>
      </c>
      <c r="L15" s="16" t="s">
        <v>25</v>
      </c>
      <c r="M15" s="16" t="s">
        <v>26</v>
      </c>
      <c r="N15" s="16" t="s">
        <v>27</v>
      </c>
      <c r="O15" s="16" t="s">
        <v>28</v>
      </c>
      <c r="P15" s="16" t="s">
        <v>29</v>
      </c>
      <c r="Q15" s="17" t="s">
        <v>30</v>
      </c>
      <c r="R15" s="3"/>
      <c r="S15" s="3"/>
      <c r="T15" s="3"/>
      <c r="U15" s="3"/>
      <c r="V15" s="3"/>
      <c r="W15" s="3"/>
      <c r="X15" s="3"/>
      <c r="Y15" s="3"/>
    </row>
    <row r="16">
      <c r="L16" s="18">
        <f>J10*0.5</f>
        <v>720</v>
      </c>
      <c r="M16" s="19">
        <f>J10*0.5</f>
        <v>720</v>
      </c>
      <c r="N16" s="18">
        <f>J40*2</f>
        <v>52032</v>
      </c>
      <c r="O16" s="18">
        <v>20.0</v>
      </c>
      <c r="P16" s="18">
        <f>N16/O16</f>
        <v>2601.6</v>
      </c>
      <c r="Q16" s="20">
        <f>(P16+L16+M16)/(((16*60)-60)*0.85)</f>
        <v>5.283137255</v>
      </c>
      <c r="R16" s="3"/>
      <c r="S16" s="3"/>
      <c r="T16" s="3"/>
      <c r="U16" s="3"/>
      <c r="V16" s="3"/>
      <c r="W16" s="3"/>
      <c r="X16" s="3"/>
      <c r="Y16" s="3"/>
    </row>
    <row r="17">
      <c r="L17" s="21"/>
      <c r="M17" s="21"/>
      <c r="N17" s="21"/>
      <c r="O17" s="21"/>
      <c r="P17" s="21"/>
      <c r="Q17" s="21"/>
      <c r="R17" s="3"/>
      <c r="S17" s="3"/>
      <c r="T17" s="3"/>
      <c r="U17" s="3"/>
      <c r="V17" s="3"/>
      <c r="W17" s="3"/>
      <c r="X17" s="3"/>
      <c r="Y17" s="3"/>
    </row>
    <row r="18">
      <c r="A18" s="22" t="s">
        <v>20</v>
      </c>
      <c r="B18" s="17" t="s">
        <v>1</v>
      </c>
      <c r="C18" s="17" t="s">
        <v>2</v>
      </c>
      <c r="D18" s="17" t="s">
        <v>3</v>
      </c>
      <c r="E18" s="17" t="s">
        <v>4</v>
      </c>
      <c r="F18" s="17" t="s">
        <v>5</v>
      </c>
      <c r="G18" s="17" t="s">
        <v>6</v>
      </c>
      <c r="H18" s="17" t="s">
        <v>7</v>
      </c>
      <c r="I18" s="17" t="s">
        <v>8</v>
      </c>
      <c r="R18" s="3"/>
      <c r="S18" s="3"/>
      <c r="T18" s="3"/>
      <c r="U18" s="3"/>
      <c r="V18" s="3"/>
      <c r="W18" s="3"/>
      <c r="X18" s="3"/>
      <c r="Y18" s="3"/>
    </row>
    <row r="19">
      <c r="A19" s="17" t="s">
        <v>9</v>
      </c>
      <c r="B19" s="17">
        <v>6.0</v>
      </c>
      <c r="C19" s="17">
        <v>18.0</v>
      </c>
      <c r="D19" s="17">
        <v>6.0</v>
      </c>
      <c r="E19" s="17">
        <v>12.0</v>
      </c>
      <c r="F19" s="17">
        <v>24.0</v>
      </c>
      <c r="G19" s="17">
        <v>18.0</v>
      </c>
      <c r="H19" s="17">
        <v>24.0</v>
      </c>
      <c r="I19" s="17">
        <v>30.0</v>
      </c>
      <c r="Q19" s="3"/>
      <c r="R19" s="3"/>
      <c r="S19" s="3"/>
      <c r="T19" s="3"/>
      <c r="U19" s="3"/>
      <c r="V19" s="3"/>
      <c r="W19" s="3"/>
      <c r="X19" s="3"/>
      <c r="Y19" s="3"/>
    </row>
    <row r="20">
      <c r="A20" s="17" t="s">
        <v>1</v>
      </c>
      <c r="B20" s="17">
        <v>0.0</v>
      </c>
      <c r="C20" s="17">
        <v>6.0</v>
      </c>
      <c r="D20" s="17">
        <v>30.0</v>
      </c>
      <c r="E20" s="17">
        <v>12.0</v>
      </c>
      <c r="F20" s="17">
        <v>24.0</v>
      </c>
      <c r="G20" s="17">
        <v>18.0</v>
      </c>
      <c r="H20" s="17">
        <v>24.0</v>
      </c>
      <c r="I20" s="17">
        <v>30.0</v>
      </c>
    </row>
    <row r="21" ht="15.75" customHeight="1">
      <c r="A21" s="17" t="s">
        <v>2</v>
      </c>
      <c r="B21" s="17">
        <v>54.0</v>
      </c>
      <c r="C21" s="17">
        <v>0.0</v>
      </c>
      <c r="D21" s="17">
        <v>30.0</v>
      </c>
      <c r="E21" s="17">
        <v>0.0</v>
      </c>
      <c r="F21" s="17">
        <v>24.0</v>
      </c>
      <c r="G21" s="17">
        <v>18.0</v>
      </c>
      <c r="H21" s="17">
        <v>12.0</v>
      </c>
      <c r="I21" s="17">
        <v>30.0</v>
      </c>
    </row>
    <row r="22" ht="15.75" customHeight="1">
      <c r="A22" s="17" t="s">
        <v>3</v>
      </c>
      <c r="B22" s="17">
        <v>18.0</v>
      </c>
      <c r="C22" s="17">
        <v>30.0</v>
      </c>
      <c r="D22" s="17">
        <v>0.0</v>
      </c>
      <c r="E22" s="17">
        <v>24.0</v>
      </c>
      <c r="F22" s="17">
        <v>12.0</v>
      </c>
      <c r="G22" s="17">
        <v>6.0</v>
      </c>
      <c r="H22" s="17">
        <v>12.0</v>
      </c>
      <c r="I22" s="17">
        <v>18.0</v>
      </c>
    </row>
    <row r="23" ht="15.75" customHeight="1">
      <c r="A23" s="17" t="s">
        <v>4</v>
      </c>
      <c r="B23" s="17">
        <v>48.0</v>
      </c>
      <c r="C23" s="17">
        <v>60.0</v>
      </c>
      <c r="D23" s="17">
        <v>48.0</v>
      </c>
      <c r="E23" s="17">
        <v>0.0</v>
      </c>
      <c r="F23" s="17">
        <v>42.0</v>
      </c>
      <c r="G23" s="17">
        <v>60.0</v>
      </c>
      <c r="H23" s="17">
        <v>6.0</v>
      </c>
      <c r="I23" s="17">
        <v>24.0</v>
      </c>
    </row>
    <row r="24" ht="15.75" customHeight="1">
      <c r="A24" s="17" t="s">
        <v>5</v>
      </c>
      <c r="B24" s="17">
        <v>30.0</v>
      </c>
      <c r="C24" s="17">
        <v>42.0</v>
      </c>
      <c r="D24" s="17">
        <v>30.0</v>
      </c>
      <c r="E24" s="17">
        <v>36.0</v>
      </c>
      <c r="F24" s="17">
        <v>0.0</v>
      </c>
      <c r="G24" s="17">
        <v>42.0</v>
      </c>
      <c r="H24" s="17">
        <v>48.0</v>
      </c>
      <c r="I24" s="17">
        <v>6.0</v>
      </c>
    </row>
    <row r="25" ht="15.75" customHeight="1">
      <c r="A25" s="17" t="s">
        <v>6</v>
      </c>
      <c r="B25" s="17">
        <v>30.0</v>
      </c>
      <c r="C25" s="17">
        <v>42.0</v>
      </c>
      <c r="D25" s="17">
        <v>30.0</v>
      </c>
      <c r="E25" s="17">
        <v>36.0</v>
      </c>
      <c r="F25" s="17">
        <v>24.0</v>
      </c>
      <c r="G25" s="17">
        <v>0.0</v>
      </c>
      <c r="H25" s="17">
        <v>48.0</v>
      </c>
      <c r="I25" s="17">
        <v>6.0</v>
      </c>
    </row>
    <row r="26" ht="15.75" customHeight="1">
      <c r="A26" s="17" t="s">
        <v>7</v>
      </c>
      <c r="B26" s="17">
        <v>36.0</v>
      </c>
      <c r="C26" s="17">
        <v>48.0</v>
      </c>
      <c r="D26" s="17">
        <v>36.0</v>
      </c>
      <c r="E26" s="17">
        <v>42.0</v>
      </c>
      <c r="F26" s="17">
        <v>30.0</v>
      </c>
      <c r="G26" s="17">
        <v>48.0</v>
      </c>
      <c r="H26" s="17">
        <v>0.0</v>
      </c>
      <c r="I26" s="17">
        <v>12.0</v>
      </c>
    </row>
    <row r="27" ht="15.75" customHeight="1"/>
    <row r="28" ht="15.75" customHeight="1"/>
    <row r="29" ht="15.75" customHeight="1"/>
    <row r="30" ht="15.75" customHeight="1"/>
    <row r="31" ht="15.75" customHeight="1">
      <c r="A31" s="22" t="s">
        <v>31</v>
      </c>
      <c r="B31" s="17" t="s">
        <v>1</v>
      </c>
      <c r="C31" s="17" t="s">
        <v>2</v>
      </c>
      <c r="D31" s="17" t="s">
        <v>3</v>
      </c>
      <c r="E31" s="17" t="s">
        <v>4</v>
      </c>
      <c r="F31" s="17" t="s">
        <v>5</v>
      </c>
      <c r="G31" s="17" t="s">
        <v>6</v>
      </c>
      <c r="H31" s="17" t="s">
        <v>7</v>
      </c>
      <c r="I31" s="17" t="s">
        <v>8</v>
      </c>
      <c r="J31" s="17" t="s">
        <v>32</v>
      </c>
    </row>
    <row r="32" ht="15.75" customHeight="1">
      <c r="A32" s="17" t="s">
        <v>9</v>
      </c>
      <c r="B32" s="17">
        <f t="shared" ref="B32:I32" si="4">B2*B19</f>
        <v>672</v>
      </c>
      <c r="C32" s="17">
        <f t="shared" si="4"/>
        <v>0</v>
      </c>
      <c r="D32" s="17">
        <f t="shared" si="4"/>
        <v>0</v>
      </c>
      <c r="E32" s="17">
        <f t="shared" si="4"/>
        <v>0</v>
      </c>
      <c r="F32" s="17">
        <f t="shared" si="4"/>
        <v>0</v>
      </c>
      <c r="G32" s="17">
        <f t="shared" si="4"/>
        <v>3744</v>
      </c>
      <c r="H32" s="17">
        <f t="shared" si="4"/>
        <v>0</v>
      </c>
      <c r="I32" s="17">
        <f t="shared" si="4"/>
        <v>0</v>
      </c>
      <c r="J32" s="16">
        <f t="shared" ref="J32:J40" si="6">SUM(B32:I32)</f>
        <v>4416</v>
      </c>
    </row>
    <row r="33" ht="15.75" customHeight="1">
      <c r="A33" s="17" t="s">
        <v>1</v>
      </c>
      <c r="B33" s="17">
        <f t="shared" ref="B33:I33" si="5">B3*B20</f>
        <v>0</v>
      </c>
      <c r="C33" s="17">
        <f t="shared" si="5"/>
        <v>0</v>
      </c>
      <c r="D33" s="17">
        <f t="shared" si="5"/>
        <v>2400</v>
      </c>
      <c r="E33" s="17">
        <f t="shared" si="5"/>
        <v>0</v>
      </c>
      <c r="F33" s="17">
        <f t="shared" si="5"/>
        <v>1920</v>
      </c>
      <c r="G33" s="17">
        <f t="shared" si="5"/>
        <v>0</v>
      </c>
      <c r="H33" s="17">
        <f t="shared" si="5"/>
        <v>768</v>
      </c>
      <c r="I33" s="17">
        <f t="shared" si="5"/>
        <v>0</v>
      </c>
      <c r="J33" s="16">
        <f t="shared" si="6"/>
        <v>5088</v>
      </c>
    </row>
    <row r="34" ht="15.75" customHeight="1">
      <c r="A34" s="17" t="s">
        <v>2</v>
      </c>
      <c r="B34" s="17">
        <f t="shared" ref="B34:I34" si="7">B4*B21</f>
        <v>0</v>
      </c>
      <c r="C34" s="17">
        <f t="shared" si="7"/>
        <v>0</v>
      </c>
      <c r="D34" s="17">
        <f t="shared" si="7"/>
        <v>0</v>
      </c>
      <c r="E34" s="17">
        <f t="shared" si="7"/>
        <v>0</v>
      </c>
      <c r="F34" s="17">
        <f t="shared" si="7"/>
        <v>0</v>
      </c>
      <c r="G34" s="17">
        <f t="shared" si="7"/>
        <v>1440</v>
      </c>
      <c r="H34" s="17">
        <f t="shared" si="7"/>
        <v>0</v>
      </c>
      <c r="I34" s="17">
        <f t="shared" si="7"/>
        <v>0</v>
      </c>
      <c r="J34" s="16">
        <f t="shared" si="6"/>
        <v>1440</v>
      </c>
    </row>
    <row r="35" ht="15.75" customHeight="1">
      <c r="A35" s="17" t="s">
        <v>3</v>
      </c>
      <c r="B35" s="17">
        <f t="shared" ref="B35:I35" si="8">B5*B22</f>
        <v>1440</v>
      </c>
      <c r="C35" s="17">
        <f t="shared" si="8"/>
        <v>2400</v>
      </c>
      <c r="D35" s="17">
        <f t="shared" si="8"/>
        <v>0</v>
      </c>
      <c r="E35" s="17">
        <f t="shared" si="8"/>
        <v>0</v>
      </c>
      <c r="F35" s="17">
        <f t="shared" si="8"/>
        <v>384</v>
      </c>
      <c r="G35" s="17">
        <f t="shared" si="8"/>
        <v>0</v>
      </c>
      <c r="H35" s="17">
        <f t="shared" si="8"/>
        <v>1152</v>
      </c>
      <c r="I35" s="17">
        <f t="shared" si="8"/>
        <v>0</v>
      </c>
      <c r="J35" s="16">
        <f t="shared" si="6"/>
        <v>5376</v>
      </c>
    </row>
    <row r="36" ht="15.75" customHeight="1">
      <c r="A36" s="17" t="s">
        <v>4</v>
      </c>
      <c r="B36" s="17">
        <f t="shared" ref="B36:I36" si="9">B6*B23</f>
        <v>0</v>
      </c>
      <c r="C36" s="17">
        <f t="shared" si="9"/>
        <v>0</v>
      </c>
      <c r="D36" s="17">
        <f t="shared" si="9"/>
        <v>0</v>
      </c>
      <c r="E36" s="17">
        <f t="shared" si="9"/>
        <v>0</v>
      </c>
      <c r="F36" s="17">
        <f t="shared" si="9"/>
        <v>0</v>
      </c>
      <c r="G36" s="17">
        <f t="shared" si="9"/>
        <v>0</v>
      </c>
      <c r="H36" s="17">
        <f t="shared" si="9"/>
        <v>0</v>
      </c>
      <c r="I36" s="17">
        <f t="shared" si="9"/>
        <v>0</v>
      </c>
      <c r="J36" s="16">
        <f t="shared" si="6"/>
        <v>0</v>
      </c>
    </row>
    <row r="37" ht="15.75" customHeight="1">
      <c r="A37" s="17" t="s">
        <v>5</v>
      </c>
      <c r="B37" s="17">
        <f t="shared" ref="B37:I37" si="10">B7*B24</f>
        <v>0</v>
      </c>
      <c r="C37" s="17">
        <f t="shared" si="10"/>
        <v>0</v>
      </c>
      <c r="D37" s="17">
        <f t="shared" si="10"/>
        <v>0</v>
      </c>
      <c r="E37" s="17">
        <f t="shared" si="10"/>
        <v>0</v>
      </c>
      <c r="F37" s="17">
        <f t="shared" si="10"/>
        <v>0</v>
      </c>
      <c r="G37" s="17">
        <f t="shared" si="10"/>
        <v>0</v>
      </c>
      <c r="H37" s="17">
        <f t="shared" si="10"/>
        <v>0</v>
      </c>
      <c r="I37" s="17">
        <f t="shared" si="10"/>
        <v>864</v>
      </c>
      <c r="J37" s="16">
        <f t="shared" si="6"/>
        <v>864</v>
      </c>
    </row>
    <row r="38" ht="15.75" customHeight="1">
      <c r="A38" s="17" t="s">
        <v>6</v>
      </c>
      <c r="B38" s="17">
        <f t="shared" ref="B38:I38" si="11">B8*B25</f>
        <v>0</v>
      </c>
      <c r="C38" s="17">
        <f t="shared" si="11"/>
        <v>0</v>
      </c>
      <c r="D38" s="17">
        <f t="shared" si="11"/>
        <v>6240</v>
      </c>
      <c r="E38" s="17">
        <f t="shared" si="11"/>
        <v>0</v>
      </c>
      <c r="F38" s="17">
        <f t="shared" si="11"/>
        <v>0</v>
      </c>
      <c r="G38" s="17">
        <f t="shared" si="11"/>
        <v>0</v>
      </c>
      <c r="H38" s="17">
        <f t="shared" si="11"/>
        <v>0</v>
      </c>
      <c r="I38" s="17">
        <f t="shared" si="11"/>
        <v>480</v>
      </c>
      <c r="J38" s="16">
        <f t="shared" si="6"/>
        <v>6720</v>
      </c>
    </row>
    <row r="39" ht="15.75" customHeight="1">
      <c r="A39" s="17" t="s">
        <v>7</v>
      </c>
      <c r="B39" s="17">
        <f t="shared" ref="B39:I39" si="12">B9*B26</f>
        <v>0</v>
      </c>
      <c r="C39" s="17">
        <f t="shared" si="12"/>
        <v>0</v>
      </c>
      <c r="D39" s="17">
        <f t="shared" si="12"/>
        <v>0</v>
      </c>
      <c r="E39" s="17">
        <f t="shared" si="12"/>
        <v>0</v>
      </c>
      <c r="F39" s="17">
        <f t="shared" si="12"/>
        <v>960</v>
      </c>
      <c r="G39" s="17">
        <f t="shared" si="12"/>
        <v>0</v>
      </c>
      <c r="H39" s="17">
        <f t="shared" si="12"/>
        <v>0</v>
      </c>
      <c r="I39" s="17">
        <f t="shared" si="12"/>
        <v>1152</v>
      </c>
      <c r="J39" s="16">
        <f t="shared" si="6"/>
        <v>2112</v>
      </c>
    </row>
    <row r="40" ht="15.75" customHeight="1">
      <c r="A40" s="17" t="s">
        <v>33</v>
      </c>
      <c r="B40" s="16">
        <f t="shared" ref="B40:I40" si="13">SUM(B32:B39)</f>
        <v>2112</v>
      </c>
      <c r="C40" s="16">
        <f t="shared" si="13"/>
        <v>2400</v>
      </c>
      <c r="D40" s="16">
        <f t="shared" si="13"/>
        <v>8640</v>
      </c>
      <c r="E40" s="16">
        <f t="shared" si="13"/>
        <v>0</v>
      </c>
      <c r="F40" s="16">
        <f t="shared" si="13"/>
        <v>3264</v>
      </c>
      <c r="G40" s="16">
        <f t="shared" si="13"/>
        <v>5184</v>
      </c>
      <c r="H40" s="16">
        <f t="shared" si="13"/>
        <v>1920</v>
      </c>
      <c r="I40" s="16">
        <f t="shared" si="13"/>
        <v>2496</v>
      </c>
      <c r="J40" s="16">
        <f t="shared" si="6"/>
        <v>26016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8" width="8.56"/>
    <col customWidth="1" min="9" max="9" width="8.89"/>
    <col customWidth="1" min="10" max="10" width="10.44"/>
    <col customWidth="1" min="11" max="13" width="8.56"/>
    <col customWidth="1" min="14" max="14" width="53.11"/>
    <col customWidth="1" min="15" max="15" width="9.33"/>
    <col customWidth="1" min="16" max="16" width="8.89"/>
    <col customWidth="1" min="17" max="22" width="8.56"/>
    <col customWidth="1" min="23" max="23" width="21.11"/>
    <col customWidth="1" min="24" max="26" width="8.56"/>
  </cols>
  <sheetData>
    <row r="1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5" t="s">
        <v>22</v>
      </c>
      <c r="K1" s="26"/>
      <c r="L1" s="26"/>
      <c r="M1" s="26"/>
      <c r="N1" s="27" t="s">
        <v>31</v>
      </c>
      <c r="O1" s="24" t="s">
        <v>1</v>
      </c>
      <c r="P1" s="24" t="s">
        <v>2</v>
      </c>
      <c r="Q1" s="24" t="s">
        <v>3</v>
      </c>
      <c r="R1" s="24" t="s">
        <v>4</v>
      </c>
      <c r="S1" s="24" t="s">
        <v>5</v>
      </c>
      <c r="T1" s="24" t="s">
        <v>6</v>
      </c>
      <c r="U1" s="24" t="s">
        <v>7</v>
      </c>
      <c r="V1" s="24" t="s">
        <v>8</v>
      </c>
      <c r="W1" s="25" t="s">
        <v>32</v>
      </c>
    </row>
    <row r="2">
      <c r="A2" s="24" t="s">
        <v>9</v>
      </c>
      <c r="B2" s="28">
        <f>7*16</f>
        <v>112</v>
      </c>
      <c r="C2" s="28">
        <v>0.0</v>
      </c>
      <c r="D2" s="28">
        <v>0.0</v>
      </c>
      <c r="E2" s="28">
        <v>0.0</v>
      </c>
      <c r="F2" s="28">
        <v>0.0</v>
      </c>
      <c r="G2" s="28">
        <f>13*16</f>
        <v>208</v>
      </c>
      <c r="H2" s="28">
        <v>0.0</v>
      </c>
      <c r="I2" s="28">
        <v>0.0</v>
      </c>
      <c r="J2" s="29">
        <f t="shared" ref="J2:J10" si="2">SUM(B2:I2)</f>
        <v>320</v>
      </c>
      <c r="K2" s="26"/>
      <c r="L2" s="26"/>
      <c r="M2" s="26"/>
      <c r="N2" s="24" t="s">
        <v>9</v>
      </c>
      <c r="O2" s="28">
        <f t="shared" ref="O2:V2" si="1">B2*B15</f>
        <v>672</v>
      </c>
      <c r="P2" s="28">
        <f t="shared" si="1"/>
        <v>0</v>
      </c>
      <c r="Q2" s="28">
        <f t="shared" si="1"/>
        <v>0</v>
      </c>
      <c r="R2" s="28">
        <f t="shared" si="1"/>
        <v>0</v>
      </c>
      <c r="S2" s="28">
        <f t="shared" si="1"/>
        <v>0</v>
      </c>
      <c r="T2" s="28">
        <f t="shared" si="1"/>
        <v>3744</v>
      </c>
      <c r="U2" s="28">
        <f t="shared" si="1"/>
        <v>0</v>
      </c>
      <c r="V2" s="28">
        <f t="shared" si="1"/>
        <v>0</v>
      </c>
      <c r="W2" s="29">
        <f t="shared" ref="W2:W10" si="4">SUM(O2:V2)</f>
        <v>4416</v>
      </c>
    </row>
    <row r="3">
      <c r="A3" s="24" t="s">
        <v>1</v>
      </c>
      <c r="B3" s="28">
        <v>0.0</v>
      </c>
      <c r="C3" s="28">
        <v>0.0</v>
      </c>
      <c r="D3" s="28">
        <f>5*16</f>
        <v>80</v>
      </c>
      <c r="E3" s="28">
        <v>0.0</v>
      </c>
      <c r="F3" s="28">
        <f>5*16</f>
        <v>80</v>
      </c>
      <c r="G3" s="28">
        <v>0.0</v>
      </c>
      <c r="H3" s="28">
        <f>2*16</f>
        <v>32</v>
      </c>
      <c r="I3" s="28">
        <v>0.0</v>
      </c>
      <c r="J3" s="29">
        <f t="shared" si="2"/>
        <v>192</v>
      </c>
      <c r="K3" s="26"/>
      <c r="L3" s="26"/>
      <c r="M3" s="26"/>
      <c r="N3" s="24" t="s">
        <v>1</v>
      </c>
      <c r="O3" s="28">
        <f t="shared" ref="O3:V3" si="3">B3*B16</f>
        <v>0</v>
      </c>
      <c r="P3" s="28">
        <f t="shared" si="3"/>
        <v>0</v>
      </c>
      <c r="Q3" s="28">
        <f t="shared" si="3"/>
        <v>2400</v>
      </c>
      <c r="R3" s="28">
        <f t="shared" si="3"/>
        <v>0</v>
      </c>
      <c r="S3" s="28">
        <f t="shared" si="3"/>
        <v>1920</v>
      </c>
      <c r="T3" s="28">
        <f t="shared" si="3"/>
        <v>0</v>
      </c>
      <c r="U3" s="28">
        <f t="shared" si="3"/>
        <v>768</v>
      </c>
      <c r="V3" s="28">
        <f t="shared" si="3"/>
        <v>0</v>
      </c>
      <c r="W3" s="29">
        <f t="shared" si="4"/>
        <v>5088</v>
      </c>
    </row>
    <row r="4">
      <c r="A4" s="24" t="s">
        <v>2</v>
      </c>
      <c r="B4" s="28">
        <v>0.0</v>
      </c>
      <c r="C4" s="28">
        <v>0.0</v>
      </c>
      <c r="D4" s="28">
        <v>0.0</v>
      </c>
      <c r="E4" s="28">
        <v>0.0</v>
      </c>
      <c r="F4" s="28">
        <v>0.0</v>
      </c>
      <c r="G4" s="28">
        <f>5*16</f>
        <v>80</v>
      </c>
      <c r="H4" s="28">
        <v>0.0</v>
      </c>
      <c r="I4" s="28">
        <v>0.0</v>
      </c>
      <c r="J4" s="29">
        <f t="shared" si="2"/>
        <v>80</v>
      </c>
      <c r="K4" s="26"/>
      <c r="L4" s="26"/>
      <c r="M4" s="26"/>
      <c r="N4" s="24" t="s">
        <v>2</v>
      </c>
      <c r="O4" s="28">
        <f t="shared" ref="O4:V4" si="5">B4*B17</f>
        <v>0</v>
      </c>
      <c r="P4" s="28">
        <f t="shared" si="5"/>
        <v>0</v>
      </c>
      <c r="Q4" s="28">
        <f t="shared" si="5"/>
        <v>0</v>
      </c>
      <c r="R4" s="28">
        <f t="shared" si="5"/>
        <v>0</v>
      </c>
      <c r="S4" s="28">
        <f t="shared" si="5"/>
        <v>0</v>
      </c>
      <c r="T4" s="28">
        <f t="shared" si="5"/>
        <v>1440</v>
      </c>
      <c r="U4" s="28">
        <f t="shared" si="5"/>
        <v>0</v>
      </c>
      <c r="V4" s="28">
        <f t="shared" si="5"/>
        <v>0</v>
      </c>
      <c r="W4" s="29">
        <f t="shared" si="4"/>
        <v>1440</v>
      </c>
    </row>
    <row r="5">
      <c r="A5" s="24" t="s">
        <v>3</v>
      </c>
      <c r="B5" s="28">
        <f t="shared" ref="B5:C5" si="6">5*16</f>
        <v>80</v>
      </c>
      <c r="C5" s="28">
        <f t="shared" si="6"/>
        <v>80</v>
      </c>
      <c r="D5" s="28">
        <v>0.0</v>
      </c>
      <c r="E5" s="28">
        <v>0.0</v>
      </c>
      <c r="F5" s="28">
        <f>2*16</f>
        <v>32</v>
      </c>
      <c r="G5" s="28">
        <v>0.0</v>
      </c>
      <c r="H5" s="28">
        <f>6*16</f>
        <v>96</v>
      </c>
      <c r="I5" s="28">
        <v>0.0</v>
      </c>
      <c r="J5" s="29">
        <f t="shared" si="2"/>
        <v>288</v>
      </c>
      <c r="K5" s="26"/>
      <c r="L5" s="26"/>
      <c r="M5" s="26"/>
      <c r="N5" s="24" t="s">
        <v>3</v>
      </c>
      <c r="O5" s="28">
        <f t="shared" ref="O5:V5" si="7">B5*B18</f>
        <v>1440</v>
      </c>
      <c r="P5" s="28">
        <f t="shared" si="7"/>
        <v>2400</v>
      </c>
      <c r="Q5" s="28">
        <f t="shared" si="7"/>
        <v>0</v>
      </c>
      <c r="R5" s="28">
        <f t="shared" si="7"/>
        <v>0</v>
      </c>
      <c r="S5" s="28">
        <f t="shared" si="7"/>
        <v>384</v>
      </c>
      <c r="T5" s="28">
        <f t="shared" si="7"/>
        <v>0</v>
      </c>
      <c r="U5" s="28">
        <f t="shared" si="7"/>
        <v>1152</v>
      </c>
      <c r="V5" s="28">
        <f t="shared" si="7"/>
        <v>0</v>
      </c>
      <c r="W5" s="29">
        <f t="shared" si="4"/>
        <v>5376</v>
      </c>
    </row>
    <row r="6">
      <c r="A6" s="24" t="s">
        <v>4</v>
      </c>
      <c r="B6" s="28">
        <v>0.0</v>
      </c>
      <c r="C6" s="28">
        <v>0.0</v>
      </c>
      <c r="D6" s="28">
        <v>0.0</v>
      </c>
      <c r="E6" s="28">
        <v>0.0</v>
      </c>
      <c r="F6" s="28">
        <v>0.0</v>
      </c>
      <c r="G6" s="28">
        <v>0.0</v>
      </c>
      <c r="H6" s="28">
        <v>0.0</v>
      </c>
      <c r="I6" s="28">
        <v>0.0</v>
      </c>
      <c r="J6" s="29">
        <f t="shared" si="2"/>
        <v>0</v>
      </c>
      <c r="K6" s="26"/>
      <c r="L6" s="26"/>
      <c r="M6" s="26"/>
      <c r="N6" s="24" t="s">
        <v>4</v>
      </c>
      <c r="O6" s="28">
        <f t="shared" ref="O6:V6" si="8">B6*B19</f>
        <v>0</v>
      </c>
      <c r="P6" s="28">
        <f t="shared" si="8"/>
        <v>0</v>
      </c>
      <c r="Q6" s="28">
        <f t="shared" si="8"/>
        <v>0</v>
      </c>
      <c r="R6" s="28">
        <f t="shared" si="8"/>
        <v>0</v>
      </c>
      <c r="S6" s="28">
        <f t="shared" si="8"/>
        <v>0</v>
      </c>
      <c r="T6" s="28">
        <f t="shared" si="8"/>
        <v>0</v>
      </c>
      <c r="U6" s="28">
        <f t="shared" si="8"/>
        <v>0</v>
      </c>
      <c r="V6" s="28">
        <f t="shared" si="8"/>
        <v>0</v>
      </c>
      <c r="W6" s="29">
        <f t="shared" si="4"/>
        <v>0</v>
      </c>
    </row>
    <row r="7">
      <c r="A7" s="24" t="s">
        <v>5</v>
      </c>
      <c r="B7" s="28">
        <v>0.0</v>
      </c>
      <c r="C7" s="28">
        <v>0.0</v>
      </c>
      <c r="D7" s="28">
        <v>0.0</v>
      </c>
      <c r="E7" s="28">
        <v>0.0</v>
      </c>
      <c r="F7" s="28">
        <v>0.0</v>
      </c>
      <c r="G7" s="28">
        <v>0.0</v>
      </c>
      <c r="H7" s="28">
        <v>0.0</v>
      </c>
      <c r="I7" s="28">
        <f>9*16</f>
        <v>144</v>
      </c>
      <c r="J7" s="29">
        <f t="shared" si="2"/>
        <v>144</v>
      </c>
      <c r="K7" s="26"/>
      <c r="L7" s="26"/>
      <c r="M7" s="26"/>
      <c r="N7" s="24" t="s">
        <v>5</v>
      </c>
      <c r="O7" s="28">
        <f t="shared" ref="O7:V7" si="9">B7*B20</f>
        <v>0</v>
      </c>
      <c r="P7" s="28">
        <f t="shared" si="9"/>
        <v>0</v>
      </c>
      <c r="Q7" s="28">
        <f t="shared" si="9"/>
        <v>0</v>
      </c>
      <c r="R7" s="28">
        <f t="shared" si="9"/>
        <v>0</v>
      </c>
      <c r="S7" s="28">
        <f t="shared" si="9"/>
        <v>0</v>
      </c>
      <c r="T7" s="28">
        <f t="shared" si="9"/>
        <v>0</v>
      </c>
      <c r="U7" s="28">
        <f t="shared" si="9"/>
        <v>0</v>
      </c>
      <c r="V7" s="28">
        <f t="shared" si="9"/>
        <v>864</v>
      </c>
      <c r="W7" s="29">
        <f t="shared" si="4"/>
        <v>864</v>
      </c>
    </row>
    <row r="8">
      <c r="A8" s="24" t="s">
        <v>6</v>
      </c>
      <c r="B8" s="28">
        <v>0.0</v>
      </c>
      <c r="C8" s="28">
        <v>0.0</v>
      </c>
      <c r="D8" s="28">
        <f>13*16</f>
        <v>208</v>
      </c>
      <c r="E8" s="28">
        <v>0.0</v>
      </c>
      <c r="F8" s="28">
        <v>0.0</v>
      </c>
      <c r="G8" s="28">
        <v>0.0</v>
      </c>
      <c r="H8" s="28">
        <v>0.0</v>
      </c>
      <c r="I8" s="28">
        <f>5*16</f>
        <v>80</v>
      </c>
      <c r="J8" s="29">
        <f t="shared" si="2"/>
        <v>288</v>
      </c>
      <c r="K8" s="26"/>
      <c r="L8" s="26"/>
      <c r="M8" s="26"/>
      <c r="N8" s="24" t="s">
        <v>6</v>
      </c>
      <c r="O8" s="28">
        <f t="shared" ref="O8:V8" si="10">B8*B21</f>
        <v>0</v>
      </c>
      <c r="P8" s="28">
        <f t="shared" si="10"/>
        <v>0</v>
      </c>
      <c r="Q8" s="28">
        <f t="shared" si="10"/>
        <v>6240</v>
      </c>
      <c r="R8" s="28">
        <f t="shared" si="10"/>
        <v>0</v>
      </c>
      <c r="S8" s="28">
        <f t="shared" si="10"/>
        <v>0</v>
      </c>
      <c r="T8" s="28">
        <f t="shared" si="10"/>
        <v>0</v>
      </c>
      <c r="U8" s="28">
        <f t="shared" si="10"/>
        <v>0</v>
      </c>
      <c r="V8" s="28">
        <f t="shared" si="10"/>
        <v>480</v>
      </c>
      <c r="W8" s="29">
        <f t="shared" si="4"/>
        <v>6720</v>
      </c>
    </row>
    <row r="9">
      <c r="A9" s="24" t="s">
        <v>7</v>
      </c>
      <c r="B9" s="28">
        <v>0.0</v>
      </c>
      <c r="C9" s="28">
        <v>0.0</v>
      </c>
      <c r="D9" s="28">
        <v>0.0</v>
      </c>
      <c r="E9" s="28">
        <v>0.0</v>
      </c>
      <c r="F9" s="28">
        <f>2*16</f>
        <v>32</v>
      </c>
      <c r="G9" s="28">
        <v>0.0</v>
      </c>
      <c r="H9" s="28">
        <v>0.0</v>
      </c>
      <c r="I9" s="28">
        <f>6*16</f>
        <v>96</v>
      </c>
      <c r="J9" s="29">
        <f t="shared" si="2"/>
        <v>128</v>
      </c>
      <c r="K9" s="26"/>
      <c r="L9" s="26"/>
      <c r="M9" s="26"/>
      <c r="N9" s="24" t="s">
        <v>7</v>
      </c>
      <c r="O9" s="28">
        <f t="shared" ref="O9:V9" si="11">B9*B22</f>
        <v>0</v>
      </c>
      <c r="P9" s="28">
        <f t="shared" si="11"/>
        <v>0</v>
      </c>
      <c r="Q9" s="28">
        <f t="shared" si="11"/>
        <v>0</v>
      </c>
      <c r="R9" s="28">
        <f t="shared" si="11"/>
        <v>0</v>
      </c>
      <c r="S9" s="28">
        <f t="shared" si="11"/>
        <v>960</v>
      </c>
      <c r="T9" s="28">
        <f t="shared" si="11"/>
        <v>0</v>
      </c>
      <c r="U9" s="28">
        <f t="shared" si="11"/>
        <v>0</v>
      </c>
      <c r="V9" s="28">
        <f t="shared" si="11"/>
        <v>1152</v>
      </c>
      <c r="W9" s="29">
        <f t="shared" si="4"/>
        <v>2112</v>
      </c>
    </row>
    <row r="10">
      <c r="A10" s="25" t="s">
        <v>23</v>
      </c>
      <c r="B10" s="29">
        <f t="shared" ref="B10:I10" si="12">SUM(B2:B9)</f>
        <v>192</v>
      </c>
      <c r="C10" s="29">
        <f t="shared" si="12"/>
        <v>80</v>
      </c>
      <c r="D10" s="29">
        <f t="shared" si="12"/>
        <v>288</v>
      </c>
      <c r="E10" s="29">
        <f t="shared" si="12"/>
        <v>0</v>
      </c>
      <c r="F10" s="29">
        <f t="shared" si="12"/>
        <v>144</v>
      </c>
      <c r="G10" s="29">
        <f t="shared" si="12"/>
        <v>288</v>
      </c>
      <c r="H10" s="29">
        <f t="shared" si="12"/>
        <v>128</v>
      </c>
      <c r="I10" s="29">
        <f t="shared" si="12"/>
        <v>320</v>
      </c>
      <c r="J10" s="27">
        <f t="shared" si="2"/>
        <v>1440</v>
      </c>
      <c r="K10" s="26"/>
      <c r="L10" s="26"/>
      <c r="M10" s="26"/>
      <c r="N10" s="25" t="s">
        <v>33</v>
      </c>
      <c r="O10" s="29">
        <f t="shared" ref="O10:V10" si="13">SUM(O2:O9)</f>
        <v>2112</v>
      </c>
      <c r="P10" s="29">
        <f t="shared" si="13"/>
        <v>2400</v>
      </c>
      <c r="Q10" s="29">
        <f t="shared" si="13"/>
        <v>8640</v>
      </c>
      <c r="R10" s="29">
        <f t="shared" si="13"/>
        <v>0</v>
      </c>
      <c r="S10" s="29">
        <f t="shared" si="13"/>
        <v>3264</v>
      </c>
      <c r="T10" s="29">
        <f t="shared" si="13"/>
        <v>5184</v>
      </c>
      <c r="U10" s="29">
        <f t="shared" si="13"/>
        <v>1920</v>
      </c>
      <c r="V10" s="29">
        <f t="shared" si="13"/>
        <v>2496</v>
      </c>
      <c r="W10" s="27">
        <f t="shared" si="4"/>
        <v>26016</v>
      </c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>
      <c r="A14" s="30" t="s">
        <v>20</v>
      </c>
      <c r="B14" s="24" t="s">
        <v>1</v>
      </c>
      <c r="C14" s="24" t="s">
        <v>2</v>
      </c>
      <c r="D14" s="24" t="s">
        <v>3</v>
      </c>
      <c r="E14" s="24" t="s">
        <v>4</v>
      </c>
      <c r="F14" s="24" t="s">
        <v>5</v>
      </c>
      <c r="G14" s="24" t="s">
        <v>6</v>
      </c>
      <c r="H14" s="24" t="s">
        <v>7</v>
      </c>
      <c r="I14" s="24" t="s">
        <v>8</v>
      </c>
      <c r="J14" s="26"/>
      <c r="K14" s="26"/>
      <c r="L14" s="26"/>
      <c r="M14" s="26"/>
      <c r="N14" s="31" t="s">
        <v>34</v>
      </c>
      <c r="O14" s="32">
        <f>W10/J10</f>
        <v>18.06666667</v>
      </c>
      <c r="P14" s="26"/>
      <c r="Q14" s="26"/>
      <c r="R14" s="26"/>
      <c r="S14" s="26"/>
      <c r="T14" s="26"/>
      <c r="U14" s="26"/>
      <c r="V14" s="26"/>
      <c r="W14" s="26"/>
    </row>
    <row r="15">
      <c r="A15" s="24" t="s">
        <v>9</v>
      </c>
      <c r="B15" s="28">
        <v>6.0</v>
      </c>
      <c r="C15" s="28">
        <v>18.0</v>
      </c>
      <c r="D15" s="28">
        <v>6.0</v>
      </c>
      <c r="E15" s="28">
        <v>12.0</v>
      </c>
      <c r="F15" s="28">
        <v>24.0</v>
      </c>
      <c r="G15" s="28">
        <v>18.0</v>
      </c>
      <c r="H15" s="28">
        <v>24.0</v>
      </c>
      <c r="I15" s="28">
        <v>30.0</v>
      </c>
      <c r="J15" s="26"/>
      <c r="K15" s="26"/>
      <c r="L15" s="26"/>
      <c r="M15" s="26"/>
      <c r="N15" s="31" t="s">
        <v>35</v>
      </c>
      <c r="O15" s="33">
        <f>'Method 2'!O14/20</f>
        <v>0.9033333333</v>
      </c>
      <c r="P15" s="26"/>
      <c r="Q15" s="26"/>
      <c r="R15" s="26"/>
      <c r="S15" s="26"/>
      <c r="T15" s="26"/>
      <c r="U15" s="26"/>
      <c r="V15" s="26"/>
      <c r="W15" s="26"/>
    </row>
    <row r="16">
      <c r="A16" s="24" t="s">
        <v>1</v>
      </c>
      <c r="B16" s="28">
        <v>0.0</v>
      </c>
      <c r="C16" s="28">
        <v>6.0</v>
      </c>
      <c r="D16" s="28">
        <v>30.0</v>
      </c>
      <c r="E16" s="28">
        <v>12.0</v>
      </c>
      <c r="F16" s="28">
        <v>24.0</v>
      </c>
      <c r="G16" s="28">
        <v>18.0</v>
      </c>
      <c r="H16" s="28">
        <v>24.0</v>
      </c>
      <c r="I16" s="28">
        <v>30.0</v>
      </c>
      <c r="J16" s="26"/>
      <c r="K16" s="26"/>
      <c r="L16" s="26"/>
      <c r="M16" s="26"/>
      <c r="N16" s="31" t="s">
        <v>36</v>
      </c>
      <c r="O16" s="34">
        <f>(((1+0.125+0.125)*O15)/0.85)+0.5+0.5</f>
        <v>2.328431373</v>
      </c>
      <c r="P16" s="26"/>
      <c r="Q16" s="26"/>
      <c r="R16" s="26"/>
      <c r="S16" s="26"/>
      <c r="T16" s="26"/>
      <c r="U16" s="26"/>
      <c r="V16" s="26"/>
      <c r="W16" s="26"/>
    </row>
    <row r="17">
      <c r="A17" s="24" t="s">
        <v>2</v>
      </c>
      <c r="B17" s="28">
        <v>54.0</v>
      </c>
      <c r="C17" s="28">
        <v>0.0</v>
      </c>
      <c r="D17" s="28">
        <v>30.0</v>
      </c>
      <c r="E17" s="28">
        <v>0.0</v>
      </c>
      <c r="F17" s="28">
        <v>24.0</v>
      </c>
      <c r="G17" s="28">
        <v>18.0</v>
      </c>
      <c r="H17" s="28">
        <v>12.0</v>
      </c>
      <c r="I17" s="28">
        <v>30.0</v>
      </c>
      <c r="J17" s="26"/>
      <c r="K17" s="26"/>
      <c r="L17" s="26"/>
      <c r="M17" s="26"/>
      <c r="N17" s="31" t="s">
        <v>37</v>
      </c>
      <c r="O17" s="34">
        <f>(O16*J10)/(15*60)</f>
        <v>3.725490196</v>
      </c>
      <c r="P17" s="35" t="s">
        <v>38</v>
      </c>
      <c r="Q17" s="26"/>
      <c r="R17" s="26"/>
      <c r="S17" s="26"/>
      <c r="T17" s="26"/>
      <c r="U17" s="26"/>
      <c r="V17" s="26"/>
      <c r="W17" s="26"/>
    </row>
    <row r="18">
      <c r="A18" s="24" t="s">
        <v>3</v>
      </c>
      <c r="B18" s="28">
        <v>18.0</v>
      </c>
      <c r="C18" s="28">
        <v>30.0</v>
      </c>
      <c r="D18" s="28">
        <v>0.0</v>
      </c>
      <c r="E18" s="28">
        <v>24.0</v>
      </c>
      <c r="F18" s="28">
        <v>12.0</v>
      </c>
      <c r="G18" s="28">
        <v>6.0</v>
      </c>
      <c r="H18" s="28">
        <v>12.0</v>
      </c>
      <c r="I18" s="28">
        <v>18.0</v>
      </c>
      <c r="J18" s="26"/>
      <c r="K18" s="26"/>
      <c r="L18" s="26"/>
      <c r="M18" s="26"/>
      <c r="N18" s="36" t="s">
        <v>39</v>
      </c>
      <c r="O18" s="37"/>
      <c r="P18" s="26"/>
      <c r="Q18" s="26"/>
      <c r="R18" s="26"/>
      <c r="S18" s="26"/>
      <c r="T18" s="26"/>
      <c r="U18" s="26"/>
      <c r="V18" s="26"/>
      <c r="W18" s="26"/>
    </row>
    <row r="19">
      <c r="A19" s="24" t="s">
        <v>4</v>
      </c>
      <c r="B19" s="28">
        <v>48.0</v>
      </c>
      <c r="C19" s="28">
        <v>60.0</v>
      </c>
      <c r="D19" s="28">
        <v>48.0</v>
      </c>
      <c r="E19" s="28">
        <v>0.0</v>
      </c>
      <c r="F19" s="28">
        <v>42.0</v>
      </c>
      <c r="G19" s="28">
        <v>60.0</v>
      </c>
      <c r="H19" s="28">
        <v>6.0</v>
      </c>
      <c r="I19" s="28">
        <v>24.0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>
      <c r="A20" s="24" t="s">
        <v>5</v>
      </c>
      <c r="B20" s="28">
        <v>30.0</v>
      </c>
      <c r="C20" s="28">
        <v>42.0</v>
      </c>
      <c r="D20" s="28">
        <v>30.0</v>
      </c>
      <c r="E20" s="28">
        <v>36.0</v>
      </c>
      <c r="F20" s="28">
        <v>0.0</v>
      </c>
      <c r="G20" s="28">
        <v>42.0</v>
      </c>
      <c r="H20" s="28">
        <v>48.0</v>
      </c>
      <c r="I20" s="28">
        <v>6.0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ht="15.75" customHeight="1">
      <c r="A21" s="24" t="s">
        <v>6</v>
      </c>
      <c r="B21" s="28">
        <v>30.0</v>
      </c>
      <c r="C21" s="28">
        <v>42.0</v>
      </c>
      <c r="D21" s="28">
        <v>30.0</v>
      </c>
      <c r="E21" s="28">
        <v>36.0</v>
      </c>
      <c r="F21" s="28">
        <v>24.0</v>
      </c>
      <c r="G21" s="28">
        <v>0.0</v>
      </c>
      <c r="H21" s="28">
        <v>48.0</v>
      </c>
      <c r="I21" s="28">
        <v>6.0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ht="15.75" customHeight="1">
      <c r="A22" s="24" t="s">
        <v>7</v>
      </c>
      <c r="B22" s="28">
        <v>36.0</v>
      </c>
      <c r="C22" s="28">
        <v>48.0</v>
      </c>
      <c r="D22" s="28">
        <v>36.0</v>
      </c>
      <c r="E22" s="28">
        <v>42.0</v>
      </c>
      <c r="F22" s="28">
        <v>30.0</v>
      </c>
      <c r="G22" s="28">
        <v>48.0</v>
      </c>
      <c r="H22" s="28">
        <v>0.0</v>
      </c>
      <c r="I22" s="28">
        <v>12.0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N18:O1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89"/>
    <col customWidth="1" min="2" max="13" width="8.56"/>
    <col customWidth="1" min="14" max="14" width="11.67"/>
    <col customWidth="1" min="15" max="17" width="8.78"/>
    <col customWidth="1" min="18" max="18" width="13.0"/>
    <col customWidth="1" min="19" max="26" width="8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22</v>
      </c>
      <c r="M1" s="38"/>
      <c r="N1" s="39" t="s">
        <v>40</v>
      </c>
      <c r="O1" s="40"/>
      <c r="P1" s="41"/>
      <c r="Q1" s="40"/>
      <c r="R1" s="41"/>
    </row>
    <row r="2">
      <c r="A2" s="2" t="s">
        <v>9</v>
      </c>
      <c r="B2" s="4">
        <f>7*16</f>
        <v>112</v>
      </c>
      <c r="C2" s="4">
        <v>0.0</v>
      </c>
      <c r="D2" s="4">
        <v>0.0</v>
      </c>
      <c r="E2" s="4">
        <v>0.0</v>
      </c>
      <c r="F2" s="4">
        <v>0.0</v>
      </c>
      <c r="G2" s="4">
        <f>13*16</f>
        <v>208</v>
      </c>
      <c r="H2" s="4">
        <v>0.0</v>
      </c>
      <c r="I2" s="4">
        <v>0.0</v>
      </c>
      <c r="J2" s="16">
        <f t="shared" ref="J2:J10" si="1">SUM(B2:I2)</f>
        <v>320</v>
      </c>
      <c r="M2" s="2" t="s">
        <v>1</v>
      </c>
      <c r="N2" s="42">
        <v>6.0</v>
      </c>
      <c r="O2" s="41"/>
      <c r="P2" s="41"/>
      <c r="Q2" s="41"/>
      <c r="R2" s="41"/>
    </row>
    <row r="3">
      <c r="A3" s="2" t="s">
        <v>1</v>
      </c>
      <c r="B3" s="4">
        <v>0.0</v>
      </c>
      <c r="C3" s="4">
        <v>0.0</v>
      </c>
      <c r="D3" s="4">
        <f>5*16</f>
        <v>80</v>
      </c>
      <c r="E3" s="4">
        <v>0.0</v>
      </c>
      <c r="F3" s="4">
        <f>5*16</f>
        <v>80</v>
      </c>
      <c r="G3" s="4">
        <v>0.0</v>
      </c>
      <c r="H3" s="4">
        <f>2*16</f>
        <v>32</v>
      </c>
      <c r="I3" s="4">
        <v>0.0</v>
      </c>
      <c r="J3" s="16">
        <f t="shared" si="1"/>
        <v>192</v>
      </c>
      <c r="M3" s="2" t="s">
        <v>2</v>
      </c>
      <c r="N3" s="42">
        <v>6.0</v>
      </c>
      <c r="O3" s="41"/>
      <c r="P3" s="41"/>
      <c r="Q3" s="41"/>
      <c r="R3" s="41"/>
    </row>
    <row r="4">
      <c r="A4" s="2" t="s">
        <v>2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f>5*16</f>
        <v>80</v>
      </c>
      <c r="H4" s="4">
        <v>0.0</v>
      </c>
      <c r="I4" s="4">
        <v>0.0</v>
      </c>
      <c r="J4" s="16">
        <f t="shared" si="1"/>
        <v>80</v>
      </c>
      <c r="M4" s="2" t="s">
        <v>3</v>
      </c>
      <c r="N4" s="42">
        <v>6.0</v>
      </c>
      <c r="O4" s="41"/>
      <c r="P4" s="41"/>
      <c r="Q4" s="41"/>
      <c r="R4" s="41"/>
    </row>
    <row r="5">
      <c r="A5" s="2" t="s">
        <v>3</v>
      </c>
      <c r="B5" s="4">
        <f t="shared" ref="B5:C5" si="2">5*16</f>
        <v>80</v>
      </c>
      <c r="C5" s="4">
        <f t="shared" si="2"/>
        <v>80</v>
      </c>
      <c r="D5" s="4">
        <v>0.0</v>
      </c>
      <c r="E5" s="4">
        <v>0.0</v>
      </c>
      <c r="F5" s="4">
        <f>2*16</f>
        <v>32</v>
      </c>
      <c r="G5" s="4">
        <v>0.0</v>
      </c>
      <c r="H5" s="4">
        <f>6*16</f>
        <v>96</v>
      </c>
      <c r="I5" s="4">
        <v>0.0</v>
      </c>
      <c r="J5" s="16">
        <f t="shared" si="1"/>
        <v>288</v>
      </c>
      <c r="M5" s="2" t="s">
        <v>5</v>
      </c>
      <c r="N5" s="42">
        <v>0.0</v>
      </c>
      <c r="O5" s="41"/>
      <c r="P5" s="41"/>
      <c r="Q5" s="41"/>
      <c r="R5" s="41"/>
    </row>
    <row r="6">
      <c r="A6" s="2" t="s">
        <v>4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16">
        <f t="shared" si="1"/>
        <v>0</v>
      </c>
      <c r="M6" s="2" t="s">
        <v>6</v>
      </c>
      <c r="N6" s="42">
        <v>6.0</v>
      </c>
      <c r="O6" s="41"/>
      <c r="P6" s="41"/>
      <c r="Q6" s="41"/>
      <c r="R6" s="41"/>
    </row>
    <row r="7">
      <c r="A7" s="2" t="s">
        <v>5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f>9*16</f>
        <v>144</v>
      </c>
      <c r="J7" s="16">
        <f t="shared" si="1"/>
        <v>144</v>
      </c>
      <c r="M7" s="2" t="s">
        <v>7</v>
      </c>
      <c r="N7" s="42">
        <v>6.0</v>
      </c>
      <c r="O7" s="41"/>
      <c r="P7" s="41"/>
      <c r="Q7" s="41"/>
      <c r="R7" s="41"/>
    </row>
    <row r="8">
      <c r="A8" s="2" t="s">
        <v>6</v>
      </c>
      <c r="B8" s="4">
        <v>0.0</v>
      </c>
      <c r="C8" s="4">
        <v>0.0</v>
      </c>
      <c r="D8" s="4">
        <f>13*16</f>
        <v>208</v>
      </c>
      <c r="E8" s="4">
        <v>0.0</v>
      </c>
      <c r="F8" s="4">
        <v>0.0</v>
      </c>
      <c r="G8" s="4">
        <v>0.0</v>
      </c>
      <c r="H8" s="4">
        <v>0.0</v>
      </c>
      <c r="I8" s="4">
        <f>5*16</f>
        <v>80</v>
      </c>
      <c r="J8" s="16">
        <f t="shared" si="1"/>
        <v>288</v>
      </c>
      <c r="O8" s="43"/>
      <c r="P8" s="43"/>
      <c r="Q8" s="43"/>
      <c r="R8" s="43"/>
    </row>
    <row r="9">
      <c r="A9" s="2" t="s">
        <v>7</v>
      </c>
      <c r="B9" s="4">
        <v>0.0</v>
      </c>
      <c r="C9" s="4">
        <v>0.0</v>
      </c>
      <c r="D9" s="4">
        <v>0.0</v>
      </c>
      <c r="E9" s="4">
        <v>0.0</v>
      </c>
      <c r="F9" s="4">
        <f>2*16</f>
        <v>32</v>
      </c>
      <c r="G9" s="4">
        <v>0.0</v>
      </c>
      <c r="H9" s="4">
        <v>0.0</v>
      </c>
      <c r="I9" s="4">
        <f>6*16</f>
        <v>96</v>
      </c>
      <c r="J9" s="16">
        <f t="shared" si="1"/>
        <v>128</v>
      </c>
      <c r="O9" s="43"/>
      <c r="P9" s="43"/>
      <c r="Q9" s="43"/>
      <c r="R9" s="43"/>
    </row>
    <row r="10" ht="23.25" customHeight="1">
      <c r="A10" s="2" t="s">
        <v>23</v>
      </c>
      <c r="B10" s="16">
        <f t="shared" ref="B10:I10" si="3">SUM(B2:B9)</f>
        <v>192</v>
      </c>
      <c r="C10" s="16">
        <f t="shared" si="3"/>
        <v>80</v>
      </c>
      <c r="D10" s="16">
        <f t="shared" si="3"/>
        <v>288</v>
      </c>
      <c r="E10" s="16">
        <f t="shared" si="3"/>
        <v>0</v>
      </c>
      <c r="F10" s="16">
        <f t="shared" si="3"/>
        <v>144</v>
      </c>
      <c r="G10" s="16">
        <f t="shared" si="3"/>
        <v>288</v>
      </c>
      <c r="H10" s="16">
        <f t="shared" si="3"/>
        <v>128</v>
      </c>
      <c r="I10" s="16">
        <f t="shared" si="3"/>
        <v>320</v>
      </c>
      <c r="J10" s="44">
        <f t="shared" si="1"/>
        <v>1440</v>
      </c>
      <c r="M10" s="45" t="s">
        <v>41</v>
      </c>
      <c r="N10" s="46"/>
      <c r="O10" s="47" t="s">
        <v>42</v>
      </c>
      <c r="P10" s="45" t="s">
        <v>43</v>
      </c>
      <c r="Q10" s="48"/>
      <c r="R10" s="46"/>
    </row>
    <row r="11">
      <c r="M11" s="49"/>
      <c r="N11" s="50"/>
      <c r="O11" s="51"/>
      <c r="P11" s="49"/>
      <c r="Q11" s="52"/>
      <c r="R11" s="50"/>
    </row>
    <row r="12">
      <c r="M12" s="53" t="s">
        <v>9</v>
      </c>
      <c r="N12" s="37"/>
      <c r="O12" s="54">
        <v>-320.0</v>
      </c>
      <c r="P12" s="55"/>
      <c r="Q12" s="56"/>
      <c r="R12" s="37"/>
    </row>
    <row r="13">
      <c r="A13" s="38" t="s">
        <v>20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M13" s="57" t="s">
        <v>1</v>
      </c>
      <c r="N13" s="37"/>
      <c r="O13" s="54">
        <v>0.0</v>
      </c>
      <c r="P13" s="58">
        <f>N2*B10</f>
        <v>1152</v>
      </c>
      <c r="Q13" s="56"/>
      <c r="R13" s="37"/>
    </row>
    <row r="14">
      <c r="A14" s="2" t="s">
        <v>9</v>
      </c>
      <c r="B14" s="4">
        <v>6.0</v>
      </c>
      <c r="C14" s="4">
        <v>18.0</v>
      </c>
      <c r="D14" s="4">
        <v>6.0</v>
      </c>
      <c r="E14" s="4">
        <v>12.0</v>
      </c>
      <c r="F14" s="4">
        <v>24.0</v>
      </c>
      <c r="G14" s="4">
        <v>18.0</v>
      </c>
      <c r="H14" s="4">
        <v>24.0</v>
      </c>
      <c r="I14" s="4">
        <v>30.0</v>
      </c>
      <c r="M14" s="57" t="s">
        <v>2</v>
      </c>
      <c r="N14" s="37"/>
      <c r="O14" s="54">
        <v>0.0</v>
      </c>
      <c r="P14" s="58">
        <f>N3*C10</f>
        <v>480</v>
      </c>
      <c r="Q14" s="56"/>
      <c r="R14" s="37"/>
    </row>
    <row r="15">
      <c r="A15" s="2" t="s">
        <v>1</v>
      </c>
      <c r="B15" s="4">
        <v>0.0</v>
      </c>
      <c r="C15" s="4">
        <v>6.0</v>
      </c>
      <c r="D15" s="4">
        <v>30.0</v>
      </c>
      <c r="E15" s="4">
        <v>12.0</v>
      </c>
      <c r="F15" s="4">
        <v>24.0</v>
      </c>
      <c r="G15" s="4">
        <v>18.0</v>
      </c>
      <c r="H15" s="4">
        <v>24.0</v>
      </c>
      <c r="I15" s="4">
        <v>30.0</v>
      </c>
      <c r="M15" s="57" t="s">
        <v>3</v>
      </c>
      <c r="N15" s="37"/>
      <c r="O15" s="54">
        <v>0.0</v>
      </c>
      <c r="P15" s="58">
        <f>D10*N4</f>
        <v>1728</v>
      </c>
      <c r="Q15" s="56"/>
      <c r="R15" s="37"/>
    </row>
    <row r="16">
      <c r="A16" s="2" t="s">
        <v>2</v>
      </c>
      <c r="B16" s="4">
        <v>54.0</v>
      </c>
      <c r="C16" s="4">
        <v>0.0</v>
      </c>
      <c r="D16" s="4">
        <v>30.0</v>
      </c>
      <c r="E16" s="4">
        <v>0.0</v>
      </c>
      <c r="F16" s="4">
        <v>24.0</v>
      </c>
      <c r="G16" s="4">
        <v>18.0</v>
      </c>
      <c r="H16" s="4">
        <v>12.0</v>
      </c>
      <c r="I16" s="4">
        <v>30.0</v>
      </c>
      <c r="M16" s="57" t="s">
        <v>5</v>
      </c>
      <c r="N16" s="37"/>
      <c r="O16" s="54">
        <v>0.0</v>
      </c>
      <c r="P16" s="58">
        <f>F10*N5</f>
        <v>0</v>
      </c>
      <c r="Q16" s="56"/>
      <c r="R16" s="37"/>
    </row>
    <row r="17">
      <c r="A17" s="2" t="s">
        <v>3</v>
      </c>
      <c r="B17" s="4">
        <v>18.0</v>
      </c>
      <c r="C17" s="4">
        <v>30.0</v>
      </c>
      <c r="D17" s="4">
        <v>0.0</v>
      </c>
      <c r="E17" s="4">
        <v>24.0</v>
      </c>
      <c r="F17" s="4">
        <v>12.0</v>
      </c>
      <c r="G17" s="4">
        <v>6.0</v>
      </c>
      <c r="H17" s="4">
        <v>12.0</v>
      </c>
      <c r="I17" s="4">
        <v>18.0</v>
      </c>
      <c r="M17" s="57" t="s">
        <v>6</v>
      </c>
      <c r="N17" s="37"/>
      <c r="O17" s="54">
        <v>0.0</v>
      </c>
      <c r="P17" s="58">
        <f>G10*N6</f>
        <v>1728</v>
      </c>
      <c r="Q17" s="56"/>
      <c r="R17" s="37"/>
    </row>
    <row r="18">
      <c r="A18" s="2" t="s">
        <v>4</v>
      </c>
      <c r="B18" s="4">
        <v>48.0</v>
      </c>
      <c r="C18" s="4">
        <v>60.0</v>
      </c>
      <c r="D18" s="4">
        <v>48.0</v>
      </c>
      <c r="E18" s="4">
        <v>0.0</v>
      </c>
      <c r="F18" s="4">
        <v>42.0</v>
      </c>
      <c r="G18" s="4">
        <v>60.0</v>
      </c>
      <c r="H18" s="4">
        <v>6.0</v>
      </c>
      <c r="I18" s="4">
        <v>24.0</v>
      </c>
      <c r="M18" s="57" t="s">
        <v>7</v>
      </c>
      <c r="N18" s="37"/>
      <c r="O18" s="54">
        <v>0.0</v>
      </c>
      <c r="P18" s="58">
        <f>H10*N7</f>
        <v>768</v>
      </c>
      <c r="Q18" s="56"/>
      <c r="R18" s="37"/>
    </row>
    <row r="19">
      <c r="A19" s="2" t="s">
        <v>5</v>
      </c>
      <c r="B19" s="4">
        <v>30.0</v>
      </c>
      <c r="C19" s="4">
        <v>42.0</v>
      </c>
      <c r="D19" s="4">
        <v>30.0</v>
      </c>
      <c r="E19" s="4">
        <v>36.0</v>
      </c>
      <c r="F19" s="4">
        <v>0.0</v>
      </c>
      <c r="G19" s="4">
        <v>42.0</v>
      </c>
      <c r="H19" s="4">
        <v>48.0</v>
      </c>
      <c r="I19" s="4">
        <v>6.0</v>
      </c>
      <c r="M19" s="53" t="s">
        <v>8</v>
      </c>
      <c r="N19" s="37"/>
      <c r="O19" s="54">
        <v>320.0</v>
      </c>
      <c r="P19" s="55"/>
      <c r="Q19" s="56"/>
      <c r="R19" s="37"/>
    </row>
    <row r="20">
      <c r="A20" s="2" t="s">
        <v>6</v>
      </c>
      <c r="B20" s="4">
        <v>30.0</v>
      </c>
      <c r="C20" s="4">
        <v>42.0</v>
      </c>
      <c r="D20" s="4">
        <v>30.0</v>
      </c>
      <c r="E20" s="4">
        <v>36.0</v>
      </c>
      <c r="F20" s="4">
        <v>24.0</v>
      </c>
      <c r="G20" s="4">
        <v>0.0</v>
      </c>
      <c r="H20" s="4">
        <v>48.0</v>
      </c>
      <c r="I20" s="4">
        <v>6.0</v>
      </c>
      <c r="M20" s="53" t="s">
        <v>44</v>
      </c>
      <c r="N20" s="37"/>
      <c r="O20" s="59">
        <f>SUM(O12:O19)</f>
        <v>0</v>
      </c>
      <c r="P20" s="53">
        <f>SUM(P13:R18)</f>
        <v>5856</v>
      </c>
      <c r="Q20" s="56"/>
      <c r="R20" s="37"/>
    </row>
    <row r="21" ht="15.75" customHeight="1">
      <c r="A21" s="2" t="s">
        <v>7</v>
      </c>
      <c r="B21" s="4">
        <v>36.0</v>
      </c>
      <c r="C21" s="4">
        <v>48.0</v>
      </c>
      <c r="D21" s="4">
        <v>36.0</v>
      </c>
      <c r="E21" s="4">
        <v>42.0</v>
      </c>
      <c r="F21" s="4">
        <v>30.0</v>
      </c>
      <c r="G21" s="4">
        <v>48.0</v>
      </c>
      <c r="H21" s="4">
        <v>0.0</v>
      </c>
      <c r="I21" s="4">
        <v>12.0</v>
      </c>
      <c r="O21" s="43"/>
      <c r="P21" s="43"/>
      <c r="Q21" s="43"/>
      <c r="R21" s="43"/>
    </row>
    <row r="22" ht="15.75" customHeight="1">
      <c r="O22" s="43"/>
      <c r="P22" s="43"/>
      <c r="Q22" s="43"/>
      <c r="R22" s="43"/>
    </row>
    <row r="23" ht="15.75" customHeight="1">
      <c r="A23" s="38" t="s">
        <v>45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8</v>
      </c>
      <c r="J23" s="2" t="s">
        <v>22</v>
      </c>
      <c r="O23" s="43"/>
      <c r="P23" s="43"/>
      <c r="Q23" s="43"/>
      <c r="R23" s="43"/>
    </row>
    <row r="24" ht="15.75" customHeight="1">
      <c r="A24" s="2" t="s">
        <v>9</v>
      </c>
      <c r="B24" s="4">
        <f t="shared" ref="B24:I24" si="4">B2*B14</f>
        <v>672</v>
      </c>
      <c r="C24" s="4">
        <f t="shared" si="4"/>
        <v>0</v>
      </c>
      <c r="D24" s="4">
        <f t="shared" si="4"/>
        <v>0</v>
      </c>
      <c r="E24" s="4">
        <f t="shared" si="4"/>
        <v>0</v>
      </c>
      <c r="F24" s="4">
        <f t="shared" si="4"/>
        <v>0</v>
      </c>
      <c r="G24" s="4">
        <f t="shared" si="4"/>
        <v>3744</v>
      </c>
      <c r="H24" s="4">
        <f t="shared" si="4"/>
        <v>0</v>
      </c>
      <c r="I24" s="4">
        <f t="shared" si="4"/>
        <v>0</v>
      </c>
      <c r="J24" s="60">
        <f t="shared" ref="J24:J32" si="6">SUM(B24:I24)</f>
        <v>4416</v>
      </c>
      <c r="M24" s="61" t="s">
        <v>46</v>
      </c>
      <c r="N24" s="62" t="s">
        <v>47</v>
      </c>
      <c r="O24" s="43"/>
      <c r="Q24" s="43"/>
      <c r="R24" s="43"/>
    </row>
    <row r="25" ht="15.75" customHeight="1">
      <c r="A25" s="2" t="s">
        <v>1</v>
      </c>
      <c r="B25" s="4">
        <f t="shared" ref="B25:I25" si="5">B3*B15</f>
        <v>0</v>
      </c>
      <c r="C25" s="4">
        <f t="shared" si="5"/>
        <v>0</v>
      </c>
      <c r="D25" s="4">
        <f t="shared" si="5"/>
        <v>2400</v>
      </c>
      <c r="E25" s="4">
        <f t="shared" si="5"/>
        <v>0</v>
      </c>
      <c r="F25" s="4">
        <f t="shared" si="5"/>
        <v>1920</v>
      </c>
      <c r="G25" s="4">
        <f t="shared" si="5"/>
        <v>0</v>
      </c>
      <c r="H25" s="4">
        <f t="shared" si="5"/>
        <v>768</v>
      </c>
      <c r="I25" s="4">
        <f t="shared" si="5"/>
        <v>0</v>
      </c>
      <c r="J25" s="60">
        <f t="shared" si="6"/>
        <v>5088</v>
      </c>
      <c r="M25" s="63" t="s">
        <v>48</v>
      </c>
      <c r="N25" s="64">
        <f>(J32/J10)*O20</f>
        <v>0</v>
      </c>
      <c r="O25" s="43"/>
      <c r="Q25" s="43"/>
      <c r="R25" s="43"/>
    </row>
    <row r="26" ht="15.75" customHeight="1">
      <c r="A26" s="2" t="s">
        <v>2</v>
      </c>
      <c r="B26" s="4">
        <f t="shared" ref="B26:I26" si="7">B4*B16</f>
        <v>0</v>
      </c>
      <c r="C26" s="4">
        <f t="shared" si="7"/>
        <v>0</v>
      </c>
      <c r="D26" s="4">
        <f t="shared" si="7"/>
        <v>0</v>
      </c>
      <c r="E26" s="4">
        <f t="shared" si="7"/>
        <v>0</v>
      </c>
      <c r="F26" s="4">
        <f t="shared" si="7"/>
        <v>0</v>
      </c>
      <c r="G26" s="4">
        <f t="shared" si="7"/>
        <v>1440</v>
      </c>
      <c r="H26" s="4">
        <f t="shared" si="7"/>
        <v>0</v>
      </c>
      <c r="I26" s="4">
        <f t="shared" si="7"/>
        <v>0</v>
      </c>
      <c r="J26" s="60">
        <f t="shared" si="6"/>
        <v>1440</v>
      </c>
      <c r="M26" s="63" t="s">
        <v>49</v>
      </c>
      <c r="N26" s="64">
        <f>P20</f>
        <v>5856</v>
      </c>
      <c r="O26" s="43"/>
      <c r="P26" s="43"/>
      <c r="Q26" s="43"/>
      <c r="R26" s="43"/>
    </row>
    <row r="27" ht="15.75" customHeight="1">
      <c r="A27" s="2" t="s">
        <v>3</v>
      </c>
      <c r="B27" s="4">
        <f t="shared" ref="B27:I27" si="8">B5*B17</f>
        <v>1440</v>
      </c>
      <c r="C27" s="4">
        <f t="shared" si="8"/>
        <v>2400</v>
      </c>
      <c r="D27" s="4">
        <f t="shared" si="8"/>
        <v>0</v>
      </c>
      <c r="E27" s="4">
        <f t="shared" si="8"/>
        <v>0</v>
      </c>
      <c r="F27" s="4">
        <f t="shared" si="8"/>
        <v>384</v>
      </c>
      <c r="G27" s="4">
        <f t="shared" si="8"/>
        <v>0</v>
      </c>
      <c r="H27" s="4">
        <f t="shared" si="8"/>
        <v>1152</v>
      </c>
      <c r="I27" s="4">
        <f t="shared" si="8"/>
        <v>0</v>
      </c>
      <c r="J27" s="60">
        <f t="shared" si="6"/>
        <v>5376</v>
      </c>
      <c r="M27" s="63" t="s">
        <v>50</v>
      </c>
      <c r="N27" s="64">
        <f>J32</f>
        <v>26016</v>
      </c>
      <c r="O27" s="43"/>
      <c r="P27" s="43"/>
      <c r="Q27" s="43"/>
      <c r="R27" s="43"/>
    </row>
    <row r="28" ht="15.75" customHeight="1">
      <c r="A28" s="2" t="s">
        <v>4</v>
      </c>
      <c r="B28" s="4">
        <f t="shared" ref="B28:I28" si="9">B6*B18</f>
        <v>0</v>
      </c>
      <c r="C28" s="4">
        <f t="shared" si="9"/>
        <v>0</v>
      </c>
      <c r="D28" s="4">
        <f t="shared" si="9"/>
        <v>0</v>
      </c>
      <c r="E28" s="4">
        <f t="shared" si="9"/>
        <v>0</v>
      </c>
      <c r="F28" s="4">
        <f t="shared" si="9"/>
        <v>0</v>
      </c>
      <c r="G28" s="4">
        <f t="shared" si="9"/>
        <v>0</v>
      </c>
      <c r="H28" s="4">
        <f t="shared" si="9"/>
        <v>0</v>
      </c>
      <c r="I28" s="4">
        <f t="shared" si="9"/>
        <v>0</v>
      </c>
      <c r="J28" s="60">
        <f t="shared" si="6"/>
        <v>0</v>
      </c>
      <c r="M28" s="63" t="s">
        <v>51</v>
      </c>
      <c r="N28" s="64">
        <v>20.0</v>
      </c>
      <c r="O28" s="43"/>
      <c r="P28" s="43"/>
      <c r="Q28" s="43"/>
      <c r="R28" s="43"/>
    </row>
    <row r="29" ht="15.75" customHeight="1">
      <c r="A29" s="2" t="s">
        <v>5</v>
      </c>
      <c r="B29" s="4">
        <f t="shared" ref="B29:I29" si="10">B7*B19</f>
        <v>0</v>
      </c>
      <c r="C29" s="4">
        <f t="shared" si="10"/>
        <v>0</v>
      </c>
      <c r="D29" s="4">
        <f t="shared" si="10"/>
        <v>0</v>
      </c>
      <c r="E29" s="4">
        <f t="shared" si="10"/>
        <v>0</v>
      </c>
      <c r="F29" s="4">
        <f t="shared" si="10"/>
        <v>0</v>
      </c>
      <c r="G29" s="4">
        <f t="shared" si="10"/>
        <v>0</v>
      </c>
      <c r="H29" s="4">
        <f t="shared" si="10"/>
        <v>0</v>
      </c>
      <c r="I29" s="4">
        <f t="shared" si="10"/>
        <v>864</v>
      </c>
      <c r="J29" s="60">
        <f t="shared" si="6"/>
        <v>864</v>
      </c>
      <c r="M29" s="63" t="s">
        <v>52</v>
      </c>
      <c r="N29" s="64">
        <v>0.5</v>
      </c>
      <c r="O29" s="43"/>
      <c r="P29" s="65">
        <f>((N25+N26+N27)/N28+(N29+N30)*N31)/((16*60-60)*0.85)</f>
        <v>3.965490196</v>
      </c>
      <c r="Q29" s="66"/>
      <c r="R29" s="67"/>
    </row>
    <row r="30" ht="15.75" customHeight="1">
      <c r="A30" s="2" t="s">
        <v>6</v>
      </c>
      <c r="B30" s="4">
        <f t="shared" ref="B30:I30" si="11">B8*B20</f>
        <v>0</v>
      </c>
      <c r="C30" s="4">
        <f t="shared" si="11"/>
        <v>0</v>
      </c>
      <c r="D30" s="4">
        <f t="shared" si="11"/>
        <v>6240</v>
      </c>
      <c r="E30" s="4">
        <f t="shared" si="11"/>
        <v>0</v>
      </c>
      <c r="F30" s="4">
        <f t="shared" si="11"/>
        <v>0</v>
      </c>
      <c r="G30" s="4">
        <f t="shared" si="11"/>
        <v>0</v>
      </c>
      <c r="H30" s="4">
        <f t="shared" si="11"/>
        <v>0</v>
      </c>
      <c r="I30" s="4">
        <f t="shared" si="11"/>
        <v>480</v>
      </c>
      <c r="J30" s="60">
        <f t="shared" si="6"/>
        <v>6720</v>
      </c>
      <c r="M30" s="63" t="s">
        <v>53</v>
      </c>
      <c r="N30" s="64">
        <v>0.5</v>
      </c>
      <c r="O30" s="43"/>
      <c r="P30" s="68" t="s">
        <v>54</v>
      </c>
      <c r="Q30" s="69"/>
      <c r="R30" s="70"/>
      <c r="S30" s="71"/>
    </row>
    <row r="31" ht="15.75" customHeight="1">
      <c r="A31" s="2" t="s">
        <v>7</v>
      </c>
      <c r="B31" s="4">
        <f t="shared" ref="B31:I31" si="12">B9*B21</f>
        <v>0</v>
      </c>
      <c r="C31" s="4">
        <f t="shared" si="12"/>
        <v>0</v>
      </c>
      <c r="D31" s="4">
        <f t="shared" si="12"/>
        <v>0</v>
      </c>
      <c r="E31" s="4">
        <f t="shared" si="12"/>
        <v>0</v>
      </c>
      <c r="F31" s="4">
        <f t="shared" si="12"/>
        <v>960</v>
      </c>
      <c r="G31" s="4">
        <f t="shared" si="12"/>
        <v>0</v>
      </c>
      <c r="H31" s="4">
        <f t="shared" si="12"/>
        <v>0</v>
      </c>
      <c r="I31" s="4">
        <f t="shared" si="12"/>
        <v>1152</v>
      </c>
      <c r="J31" s="60">
        <f t="shared" si="6"/>
        <v>2112</v>
      </c>
      <c r="M31" s="63" t="s">
        <v>55</v>
      </c>
      <c r="N31" s="64">
        <f>J10</f>
        <v>1440</v>
      </c>
      <c r="O31" s="43"/>
      <c r="P31" s="43"/>
      <c r="Q31" s="43"/>
      <c r="R31" s="43"/>
    </row>
    <row r="32" ht="15.75" customHeight="1">
      <c r="A32" s="2" t="s">
        <v>23</v>
      </c>
      <c r="B32" s="60">
        <f t="shared" ref="B32:I32" si="13">SUM(B24:B31)</f>
        <v>2112</v>
      </c>
      <c r="C32" s="60">
        <f t="shared" si="13"/>
        <v>2400</v>
      </c>
      <c r="D32" s="60">
        <f t="shared" si="13"/>
        <v>8640</v>
      </c>
      <c r="E32" s="60">
        <f t="shared" si="13"/>
        <v>0</v>
      </c>
      <c r="F32" s="60">
        <f t="shared" si="13"/>
        <v>3264</v>
      </c>
      <c r="G32" s="60">
        <f t="shared" si="13"/>
        <v>5184</v>
      </c>
      <c r="H32" s="60">
        <f t="shared" si="13"/>
        <v>1920</v>
      </c>
      <c r="I32" s="60">
        <f t="shared" si="13"/>
        <v>2496</v>
      </c>
      <c r="J32" s="72">
        <f t="shared" si="6"/>
        <v>26016</v>
      </c>
      <c r="O32" s="43"/>
      <c r="P32" s="43"/>
      <c r="Q32" s="43"/>
      <c r="R32" s="43"/>
    </row>
    <row r="33" ht="15.75" customHeight="1">
      <c r="O33" s="43"/>
      <c r="P33" s="43"/>
      <c r="Q33" s="43"/>
      <c r="R33" s="43"/>
    </row>
    <row r="34" ht="15.75" customHeight="1">
      <c r="O34" s="43"/>
      <c r="P34" s="43"/>
      <c r="Q34" s="43"/>
      <c r="R34" s="43"/>
    </row>
    <row r="35" ht="15.75" customHeight="1">
      <c r="O35" s="43"/>
      <c r="P35" s="43"/>
      <c r="Q35" s="43"/>
      <c r="R35" s="43"/>
    </row>
    <row r="36" ht="15.75" customHeight="1">
      <c r="O36" s="43"/>
      <c r="P36" s="43"/>
      <c r="Q36" s="43"/>
      <c r="R36" s="43"/>
    </row>
    <row r="37" ht="15.75" customHeight="1">
      <c r="O37" s="43"/>
      <c r="P37" s="43"/>
      <c r="Q37" s="43"/>
      <c r="R37" s="43"/>
    </row>
    <row r="38" ht="15.75" customHeight="1">
      <c r="O38" s="43"/>
      <c r="P38" s="43"/>
      <c r="Q38" s="43"/>
      <c r="R38" s="43"/>
    </row>
    <row r="39" ht="15.75" customHeight="1">
      <c r="O39" s="43"/>
      <c r="P39" s="43"/>
      <c r="Q39" s="43"/>
      <c r="R39" s="43"/>
    </row>
    <row r="40" ht="15.75" customHeight="1">
      <c r="O40" s="43"/>
      <c r="P40" s="43"/>
      <c r="Q40" s="43"/>
      <c r="R40" s="43"/>
    </row>
    <row r="41" ht="15.75" customHeight="1">
      <c r="O41" s="43"/>
      <c r="P41" s="43"/>
      <c r="Q41" s="43"/>
      <c r="R41" s="43"/>
    </row>
    <row r="42" ht="15.75" customHeight="1">
      <c r="O42" s="43"/>
      <c r="P42" s="43"/>
      <c r="Q42" s="43"/>
      <c r="R42" s="43"/>
    </row>
    <row r="43" ht="15.75" customHeight="1">
      <c r="O43" s="43"/>
      <c r="P43" s="43"/>
      <c r="Q43" s="43"/>
      <c r="R43" s="43"/>
    </row>
    <row r="44" ht="15.75" customHeight="1">
      <c r="O44" s="43"/>
      <c r="P44" s="43"/>
      <c r="Q44" s="43"/>
      <c r="R44" s="43"/>
    </row>
    <row r="45" ht="15.75" customHeight="1">
      <c r="O45" s="43"/>
      <c r="P45" s="43"/>
      <c r="Q45" s="43"/>
      <c r="R45" s="43"/>
    </row>
    <row r="46" ht="15.75" customHeight="1">
      <c r="O46" s="43"/>
      <c r="P46" s="43"/>
      <c r="Q46" s="43"/>
      <c r="R46" s="43"/>
    </row>
    <row r="47" ht="15.75" customHeight="1">
      <c r="O47" s="43"/>
      <c r="P47" s="43"/>
      <c r="Q47" s="43"/>
      <c r="R47" s="43"/>
    </row>
    <row r="48" ht="15.75" customHeight="1">
      <c r="O48" s="43"/>
      <c r="P48" s="43"/>
      <c r="Q48" s="43"/>
      <c r="R48" s="43"/>
    </row>
    <row r="49" ht="15.75" customHeight="1">
      <c r="O49" s="43"/>
      <c r="P49" s="43"/>
      <c r="Q49" s="43"/>
      <c r="R49" s="43"/>
    </row>
    <row r="50" ht="15.75" customHeight="1">
      <c r="O50" s="43"/>
      <c r="P50" s="43"/>
      <c r="Q50" s="43"/>
      <c r="R50" s="43"/>
    </row>
    <row r="51" ht="15.75" customHeight="1">
      <c r="O51" s="43"/>
      <c r="P51" s="43"/>
      <c r="Q51" s="43"/>
      <c r="R51" s="43"/>
    </row>
    <row r="52" ht="15.75" customHeight="1">
      <c r="O52" s="43"/>
      <c r="P52" s="43"/>
      <c r="Q52" s="43"/>
      <c r="R52" s="43"/>
    </row>
    <row r="53" ht="15.75" customHeight="1">
      <c r="O53" s="43"/>
      <c r="P53" s="43"/>
      <c r="Q53" s="43"/>
      <c r="R53" s="43"/>
    </row>
    <row r="54" ht="15.75" customHeight="1">
      <c r="O54" s="43"/>
      <c r="P54" s="43"/>
      <c r="Q54" s="43"/>
      <c r="R54" s="43"/>
    </row>
    <row r="55" ht="15.75" customHeight="1">
      <c r="O55" s="43"/>
      <c r="P55" s="43"/>
      <c r="Q55" s="43"/>
      <c r="R55" s="43"/>
    </row>
    <row r="56" ht="15.75" customHeight="1">
      <c r="O56" s="43"/>
      <c r="P56" s="43"/>
      <c r="Q56" s="43"/>
      <c r="R56" s="43"/>
    </row>
    <row r="57" ht="15.75" customHeight="1">
      <c r="O57" s="43"/>
      <c r="P57" s="43"/>
      <c r="Q57" s="43"/>
      <c r="R57" s="43"/>
    </row>
    <row r="58" ht="15.75" customHeight="1">
      <c r="O58" s="43"/>
      <c r="P58" s="43"/>
      <c r="Q58" s="43"/>
      <c r="R58" s="43"/>
    </row>
    <row r="59" ht="15.75" customHeight="1">
      <c r="O59" s="43"/>
      <c r="P59" s="43"/>
      <c r="Q59" s="43"/>
      <c r="R59" s="43"/>
    </row>
    <row r="60" ht="15.75" customHeight="1">
      <c r="O60" s="43"/>
      <c r="P60" s="43"/>
      <c r="Q60" s="43"/>
      <c r="R60" s="43"/>
    </row>
    <row r="61" ht="15.75" customHeight="1">
      <c r="O61" s="43"/>
      <c r="P61" s="43"/>
      <c r="Q61" s="43"/>
      <c r="R61" s="43"/>
    </row>
    <row r="62" ht="15.75" customHeight="1">
      <c r="O62" s="43"/>
      <c r="P62" s="43"/>
      <c r="Q62" s="43"/>
      <c r="R62" s="43"/>
    </row>
    <row r="63" ht="15.75" customHeight="1">
      <c r="O63" s="43"/>
      <c r="P63" s="43"/>
      <c r="Q63" s="43"/>
      <c r="R63" s="43"/>
    </row>
    <row r="64" ht="15.75" customHeight="1">
      <c r="O64" s="43"/>
      <c r="P64" s="43"/>
      <c r="Q64" s="43"/>
      <c r="R64" s="43"/>
    </row>
    <row r="65" ht="15.75" customHeight="1">
      <c r="O65" s="43"/>
      <c r="P65" s="43"/>
      <c r="Q65" s="43"/>
      <c r="R65" s="43"/>
    </row>
    <row r="66" ht="15.75" customHeight="1">
      <c r="O66" s="43"/>
      <c r="P66" s="43"/>
      <c r="Q66" s="43"/>
      <c r="R66" s="43"/>
    </row>
    <row r="67" ht="15.75" customHeight="1">
      <c r="O67" s="43"/>
      <c r="P67" s="43"/>
      <c r="Q67" s="43"/>
      <c r="R67" s="43"/>
    </row>
    <row r="68" ht="15.75" customHeight="1">
      <c r="O68" s="43"/>
      <c r="P68" s="43"/>
      <c r="Q68" s="43"/>
      <c r="R68" s="43"/>
    </row>
    <row r="69" ht="15.75" customHeight="1">
      <c r="O69" s="43"/>
      <c r="P69" s="43"/>
      <c r="Q69" s="43"/>
      <c r="R69" s="43"/>
    </row>
    <row r="70" ht="15.75" customHeight="1">
      <c r="O70" s="43"/>
      <c r="P70" s="43"/>
      <c r="Q70" s="43"/>
      <c r="R70" s="43"/>
    </row>
    <row r="71" ht="15.75" customHeight="1">
      <c r="O71" s="43"/>
      <c r="P71" s="43"/>
      <c r="Q71" s="43"/>
      <c r="R71" s="43"/>
    </row>
    <row r="72" ht="15.75" customHeight="1">
      <c r="O72" s="43"/>
      <c r="P72" s="43"/>
      <c r="Q72" s="43"/>
      <c r="R72" s="43"/>
    </row>
    <row r="73" ht="15.75" customHeight="1">
      <c r="O73" s="43"/>
      <c r="P73" s="43"/>
      <c r="Q73" s="43"/>
      <c r="R73" s="43"/>
    </row>
    <row r="74" ht="15.75" customHeight="1">
      <c r="O74" s="43"/>
      <c r="P74" s="43"/>
      <c r="Q74" s="43"/>
      <c r="R74" s="43"/>
    </row>
    <row r="75" ht="15.75" customHeight="1">
      <c r="O75" s="43"/>
      <c r="P75" s="43"/>
      <c r="Q75" s="43"/>
      <c r="R75" s="43"/>
    </row>
    <row r="76" ht="15.75" customHeight="1">
      <c r="O76" s="43"/>
      <c r="P76" s="43"/>
      <c r="Q76" s="43"/>
      <c r="R76" s="43"/>
    </row>
    <row r="77" ht="15.75" customHeight="1">
      <c r="O77" s="43"/>
      <c r="P77" s="43"/>
      <c r="Q77" s="43"/>
      <c r="R77" s="43"/>
    </row>
    <row r="78" ht="15.75" customHeight="1">
      <c r="O78" s="43"/>
      <c r="P78" s="43"/>
      <c r="Q78" s="43"/>
      <c r="R78" s="43"/>
    </row>
    <row r="79" ht="15.75" customHeight="1">
      <c r="O79" s="43"/>
      <c r="P79" s="43"/>
      <c r="Q79" s="43"/>
      <c r="R79" s="43"/>
    </row>
    <row r="80" ht="15.75" customHeight="1">
      <c r="O80" s="43"/>
      <c r="P80" s="43"/>
      <c r="Q80" s="43"/>
      <c r="R80" s="43"/>
    </row>
    <row r="81" ht="15.75" customHeight="1">
      <c r="O81" s="43"/>
      <c r="P81" s="43"/>
      <c r="Q81" s="43"/>
      <c r="R81" s="43"/>
    </row>
    <row r="82" ht="15.75" customHeight="1">
      <c r="O82" s="43"/>
      <c r="P82" s="43"/>
      <c r="Q82" s="43"/>
      <c r="R82" s="43"/>
    </row>
    <row r="83" ht="15.75" customHeight="1">
      <c r="O83" s="43"/>
      <c r="P83" s="43"/>
      <c r="Q83" s="43"/>
      <c r="R83" s="43"/>
    </row>
    <row r="84" ht="15.75" customHeight="1">
      <c r="O84" s="43"/>
      <c r="P84" s="43"/>
      <c r="Q84" s="43"/>
      <c r="R84" s="43"/>
    </row>
    <row r="85" ht="15.75" customHeight="1">
      <c r="O85" s="43"/>
      <c r="P85" s="43"/>
      <c r="Q85" s="43"/>
      <c r="R85" s="43"/>
    </row>
    <row r="86" ht="15.75" customHeight="1">
      <c r="O86" s="43"/>
      <c r="P86" s="43"/>
      <c r="Q86" s="43"/>
      <c r="R86" s="43"/>
    </row>
    <row r="87" ht="15.75" customHeight="1">
      <c r="O87" s="43"/>
      <c r="P87" s="43"/>
      <c r="Q87" s="43"/>
      <c r="R87" s="43"/>
    </row>
    <row r="88" ht="15.75" customHeight="1">
      <c r="O88" s="43"/>
      <c r="P88" s="43"/>
      <c r="Q88" s="43"/>
      <c r="R88" s="43"/>
    </row>
    <row r="89" ht="15.75" customHeight="1">
      <c r="O89" s="43"/>
      <c r="P89" s="43"/>
      <c r="Q89" s="43"/>
      <c r="R89" s="43"/>
    </row>
    <row r="90" ht="15.75" customHeight="1">
      <c r="O90" s="43"/>
      <c r="P90" s="43"/>
      <c r="Q90" s="43"/>
      <c r="R90" s="43"/>
    </row>
    <row r="91" ht="15.75" customHeight="1">
      <c r="O91" s="43"/>
      <c r="P91" s="43"/>
      <c r="Q91" s="43"/>
      <c r="R91" s="43"/>
    </row>
    <row r="92" ht="15.75" customHeight="1">
      <c r="O92" s="43"/>
      <c r="P92" s="43"/>
      <c r="Q92" s="43"/>
      <c r="R92" s="43"/>
    </row>
    <row r="93" ht="15.75" customHeight="1">
      <c r="O93" s="43"/>
      <c r="P93" s="43"/>
      <c r="Q93" s="43"/>
      <c r="R93" s="43"/>
    </row>
    <row r="94" ht="15.75" customHeight="1">
      <c r="O94" s="43"/>
      <c r="P94" s="43"/>
      <c r="Q94" s="43"/>
      <c r="R94" s="43"/>
    </row>
    <row r="95" ht="15.75" customHeight="1">
      <c r="O95" s="43"/>
      <c r="P95" s="43"/>
      <c r="Q95" s="43"/>
      <c r="R95" s="43"/>
    </row>
    <row r="96" ht="15.75" customHeight="1">
      <c r="O96" s="43"/>
      <c r="P96" s="43"/>
      <c r="Q96" s="43"/>
      <c r="R96" s="43"/>
    </row>
    <row r="97" ht="15.75" customHeight="1">
      <c r="O97" s="43"/>
      <c r="P97" s="43"/>
      <c r="Q97" s="43"/>
      <c r="R97" s="43"/>
    </row>
    <row r="98" ht="15.75" customHeight="1">
      <c r="O98" s="43"/>
      <c r="P98" s="43"/>
      <c r="Q98" s="43"/>
      <c r="R98" s="43"/>
    </row>
    <row r="99" ht="15.75" customHeight="1">
      <c r="O99" s="43"/>
      <c r="P99" s="43"/>
      <c r="Q99" s="43"/>
      <c r="R99" s="43"/>
    </row>
    <row r="100" ht="15.75" customHeight="1">
      <c r="O100" s="43"/>
      <c r="P100" s="43"/>
      <c r="Q100" s="43"/>
      <c r="R100" s="43"/>
    </row>
    <row r="101" ht="15.75" customHeight="1">
      <c r="O101" s="43"/>
      <c r="P101" s="43"/>
      <c r="Q101" s="43"/>
      <c r="R101" s="43"/>
    </row>
    <row r="102" ht="15.75" customHeight="1">
      <c r="O102" s="43"/>
      <c r="P102" s="43"/>
      <c r="Q102" s="43"/>
      <c r="R102" s="43"/>
    </row>
    <row r="103" ht="15.75" customHeight="1">
      <c r="O103" s="43"/>
      <c r="P103" s="43"/>
      <c r="Q103" s="43"/>
      <c r="R103" s="43"/>
    </row>
    <row r="104" ht="15.75" customHeight="1">
      <c r="O104" s="43"/>
      <c r="P104" s="43"/>
      <c r="Q104" s="43"/>
      <c r="R104" s="43"/>
    </row>
    <row r="105" ht="15.75" customHeight="1">
      <c r="O105" s="43"/>
      <c r="P105" s="43"/>
      <c r="Q105" s="43"/>
      <c r="R105" s="43"/>
    </row>
    <row r="106" ht="15.75" customHeight="1">
      <c r="O106" s="43"/>
      <c r="P106" s="43"/>
      <c r="Q106" s="43"/>
      <c r="R106" s="43"/>
    </row>
    <row r="107" ht="15.75" customHeight="1">
      <c r="O107" s="43"/>
      <c r="P107" s="43"/>
      <c r="Q107" s="43"/>
      <c r="R107" s="43"/>
    </row>
    <row r="108" ht="15.75" customHeight="1">
      <c r="O108" s="43"/>
      <c r="P108" s="43"/>
      <c r="Q108" s="43"/>
      <c r="R108" s="43"/>
    </row>
    <row r="109" ht="15.75" customHeight="1">
      <c r="O109" s="43"/>
      <c r="P109" s="43"/>
      <c r="Q109" s="43"/>
      <c r="R109" s="43"/>
    </row>
    <row r="110" ht="15.75" customHeight="1">
      <c r="O110" s="43"/>
      <c r="P110" s="43"/>
      <c r="Q110" s="43"/>
      <c r="R110" s="43"/>
    </row>
    <row r="111" ht="15.75" customHeight="1">
      <c r="O111" s="43"/>
      <c r="P111" s="43"/>
      <c r="Q111" s="43"/>
      <c r="R111" s="43"/>
    </row>
    <row r="112" ht="15.75" customHeight="1">
      <c r="O112" s="43"/>
      <c r="P112" s="43"/>
      <c r="Q112" s="43"/>
      <c r="R112" s="43"/>
    </row>
    <row r="113" ht="15.75" customHeight="1">
      <c r="O113" s="43"/>
      <c r="P113" s="43"/>
      <c r="Q113" s="43"/>
      <c r="R113" s="43"/>
    </row>
    <row r="114" ht="15.75" customHeight="1">
      <c r="O114" s="43"/>
      <c r="P114" s="43"/>
      <c r="Q114" s="43"/>
      <c r="R114" s="43"/>
    </row>
    <row r="115" ht="15.75" customHeight="1">
      <c r="O115" s="43"/>
      <c r="P115" s="43"/>
      <c r="Q115" s="43"/>
      <c r="R115" s="43"/>
    </row>
    <row r="116" ht="15.75" customHeight="1">
      <c r="O116" s="43"/>
      <c r="P116" s="43"/>
      <c r="Q116" s="43"/>
      <c r="R116" s="43"/>
    </row>
    <row r="117" ht="15.75" customHeight="1">
      <c r="O117" s="43"/>
      <c r="P117" s="43"/>
      <c r="Q117" s="43"/>
      <c r="R117" s="43"/>
    </row>
    <row r="118" ht="15.75" customHeight="1">
      <c r="O118" s="43"/>
      <c r="P118" s="43"/>
      <c r="Q118" s="43"/>
      <c r="R118" s="43"/>
    </row>
    <row r="119" ht="15.75" customHeight="1">
      <c r="O119" s="43"/>
      <c r="P119" s="43"/>
      <c r="Q119" s="43"/>
      <c r="R119" s="43"/>
    </row>
    <row r="120" ht="15.75" customHeight="1">
      <c r="O120" s="43"/>
      <c r="P120" s="43"/>
      <c r="Q120" s="43"/>
      <c r="R120" s="43"/>
    </row>
    <row r="121" ht="15.75" customHeight="1">
      <c r="O121" s="43"/>
      <c r="P121" s="43"/>
      <c r="Q121" s="43"/>
      <c r="R121" s="43"/>
    </row>
    <row r="122" ht="15.75" customHeight="1">
      <c r="O122" s="43"/>
      <c r="P122" s="43"/>
      <c r="Q122" s="43"/>
      <c r="R122" s="43"/>
    </row>
    <row r="123" ht="15.75" customHeight="1">
      <c r="O123" s="43"/>
      <c r="P123" s="43"/>
      <c r="Q123" s="43"/>
      <c r="R123" s="43"/>
    </row>
    <row r="124" ht="15.75" customHeight="1">
      <c r="O124" s="43"/>
      <c r="P124" s="43"/>
      <c r="Q124" s="43"/>
      <c r="R124" s="43"/>
    </row>
    <row r="125" ht="15.75" customHeight="1">
      <c r="O125" s="43"/>
      <c r="P125" s="43"/>
      <c r="Q125" s="43"/>
      <c r="R125" s="43"/>
    </row>
    <row r="126" ht="15.75" customHeight="1">
      <c r="O126" s="43"/>
      <c r="P126" s="43"/>
      <c r="Q126" s="43"/>
      <c r="R126" s="43"/>
    </row>
    <row r="127" ht="15.75" customHeight="1">
      <c r="O127" s="43"/>
      <c r="P127" s="43"/>
      <c r="Q127" s="43"/>
      <c r="R127" s="43"/>
    </row>
    <row r="128" ht="15.75" customHeight="1">
      <c r="O128" s="43"/>
      <c r="P128" s="43"/>
      <c r="Q128" s="43"/>
      <c r="R128" s="43"/>
    </row>
    <row r="129" ht="15.75" customHeight="1">
      <c r="O129" s="43"/>
      <c r="P129" s="43"/>
      <c r="Q129" s="43"/>
      <c r="R129" s="43"/>
    </row>
    <row r="130" ht="15.75" customHeight="1">
      <c r="O130" s="43"/>
      <c r="P130" s="43"/>
      <c r="Q130" s="43"/>
      <c r="R130" s="43"/>
    </row>
    <row r="131" ht="15.75" customHeight="1">
      <c r="O131" s="43"/>
      <c r="P131" s="43"/>
      <c r="Q131" s="43"/>
      <c r="R131" s="43"/>
    </row>
    <row r="132" ht="15.75" customHeight="1">
      <c r="O132" s="43"/>
      <c r="P132" s="43"/>
      <c r="Q132" s="43"/>
      <c r="R132" s="43"/>
    </row>
    <row r="133" ht="15.75" customHeight="1">
      <c r="O133" s="43"/>
      <c r="P133" s="43"/>
      <c r="Q133" s="43"/>
      <c r="R133" s="43"/>
    </row>
    <row r="134" ht="15.75" customHeight="1">
      <c r="O134" s="43"/>
      <c r="P134" s="43"/>
      <c r="Q134" s="43"/>
      <c r="R134" s="43"/>
    </row>
    <row r="135" ht="15.75" customHeight="1">
      <c r="O135" s="43"/>
      <c r="P135" s="43"/>
      <c r="Q135" s="43"/>
      <c r="R135" s="43"/>
    </row>
    <row r="136" ht="15.75" customHeight="1">
      <c r="O136" s="43"/>
      <c r="P136" s="43"/>
      <c r="Q136" s="43"/>
      <c r="R136" s="43"/>
    </row>
    <row r="137" ht="15.75" customHeight="1">
      <c r="O137" s="43"/>
      <c r="P137" s="43"/>
      <c r="Q137" s="43"/>
      <c r="R137" s="43"/>
    </row>
    <row r="138" ht="15.75" customHeight="1">
      <c r="O138" s="43"/>
      <c r="P138" s="43"/>
      <c r="Q138" s="43"/>
      <c r="R138" s="43"/>
    </row>
    <row r="139" ht="15.75" customHeight="1">
      <c r="O139" s="43"/>
      <c r="P139" s="43"/>
      <c r="Q139" s="43"/>
      <c r="R139" s="43"/>
    </row>
    <row r="140" ht="15.75" customHeight="1">
      <c r="O140" s="43"/>
      <c r="P140" s="43"/>
      <c r="Q140" s="43"/>
      <c r="R140" s="43"/>
    </row>
    <row r="141" ht="15.75" customHeight="1">
      <c r="O141" s="43"/>
      <c r="P141" s="43"/>
      <c r="Q141" s="43"/>
      <c r="R141" s="43"/>
    </row>
    <row r="142" ht="15.75" customHeight="1">
      <c r="O142" s="43"/>
      <c r="P142" s="43"/>
      <c r="Q142" s="43"/>
      <c r="R142" s="43"/>
    </row>
    <row r="143" ht="15.75" customHeight="1">
      <c r="O143" s="43"/>
      <c r="P143" s="43"/>
      <c r="Q143" s="43"/>
      <c r="R143" s="43"/>
    </row>
    <row r="144" ht="15.75" customHeight="1">
      <c r="O144" s="43"/>
      <c r="P144" s="43"/>
      <c r="Q144" s="43"/>
      <c r="R144" s="43"/>
    </row>
    <row r="145" ht="15.75" customHeight="1">
      <c r="O145" s="43"/>
      <c r="P145" s="43"/>
      <c r="Q145" s="43"/>
      <c r="R145" s="43"/>
    </row>
    <row r="146" ht="15.75" customHeight="1">
      <c r="O146" s="43"/>
      <c r="P146" s="43"/>
      <c r="Q146" s="43"/>
      <c r="R146" s="43"/>
    </row>
    <row r="147" ht="15.75" customHeight="1">
      <c r="O147" s="43"/>
      <c r="P147" s="43"/>
      <c r="Q147" s="43"/>
      <c r="R147" s="43"/>
    </row>
    <row r="148" ht="15.75" customHeight="1">
      <c r="O148" s="43"/>
      <c r="P148" s="43"/>
      <c r="Q148" s="43"/>
      <c r="R148" s="43"/>
    </row>
    <row r="149" ht="15.75" customHeight="1">
      <c r="O149" s="43"/>
      <c r="P149" s="43"/>
      <c r="Q149" s="43"/>
      <c r="R149" s="43"/>
    </row>
    <row r="150" ht="15.75" customHeight="1">
      <c r="O150" s="43"/>
      <c r="P150" s="43"/>
      <c r="Q150" s="43"/>
      <c r="R150" s="43"/>
    </row>
    <row r="151" ht="15.75" customHeight="1">
      <c r="O151" s="43"/>
      <c r="P151" s="43"/>
      <c r="Q151" s="43"/>
      <c r="R151" s="43"/>
    </row>
    <row r="152" ht="15.75" customHeight="1">
      <c r="O152" s="43"/>
      <c r="P152" s="43"/>
      <c r="Q152" s="43"/>
      <c r="R152" s="43"/>
    </row>
    <row r="153" ht="15.75" customHeight="1">
      <c r="O153" s="43"/>
      <c r="P153" s="43"/>
      <c r="Q153" s="43"/>
      <c r="R153" s="43"/>
    </row>
    <row r="154" ht="15.75" customHeight="1">
      <c r="O154" s="43"/>
      <c r="P154" s="43"/>
      <c r="Q154" s="43"/>
      <c r="R154" s="43"/>
    </row>
    <row r="155" ht="15.75" customHeight="1">
      <c r="O155" s="43"/>
      <c r="P155" s="43"/>
      <c r="Q155" s="43"/>
      <c r="R155" s="43"/>
    </row>
    <row r="156" ht="15.75" customHeight="1">
      <c r="O156" s="43"/>
      <c r="P156" s="43"/>
      <c r="Q156" s="43"/>
      <c r="R156" s="43"/>
    </row>
    <row r="157" ht="15.75" customHeight="1">
      <c r="O157" s="43"/>
      <c r="P157" s="43"/>
      <c r="Q157" s="43"/>
      <c r="R157" s="43"/>
    </row>
    <row r="158" ht="15.75" customHeight="1">
      <c r="O158" s="43"/>
      <c r="P158" s="43"/>
      <c r="Q158" s="43"/>
      <c r="R158" s="43"/>
    </row>
    <row r="159" ht="15.75" customHeight="1">
      <c r="O159" s="43"/>
      <c r="P159" s="43"/>
      <c r="Q159" s="43"/>
      <c r="R159" s="43"/>
    </row>
    <row r="160" ht="15.75" customHeight="1">
      <c r="O160" s="43"/>
      <c r="P160" s="43"/>
      <c r="Q160" s="43"/>
      <c r="R160" s="43"/>
    </row>
    <row r="161" ht="15.75" customHeight="1">
      <c r="O161" s="43"/>
      <c r="P161" s="43"/>
      <c r="Q161" s="43"/>
      <c r="R161" s="43"/>
    </row>
    <row r="162" ht="15.75" customHeight="1">
      <c r="O162" s="43"/>
      <c r="P162" s="43"/>
      <c r="Q162" s="43"/>
      <c r="R162" s="43"/>
    </row>
    <row r="163" ht="15.75" customHeight="1">
      <c r="O163" s="43"/>
      <c r="P163" s="43"/>
      <c r="Q163" s="43"/>
      <c r="R163" s="43"/>
    </row>
    <row r="164" ht="15.75" customHeight="1">
      <c r="O164" s="43"/>
      <c r="P164" s="43"/>
      <c r="Q164" s="43"/>
      <c r="R164" s="43"/>
    </row>
    <row r="165" ht="15.75" customHeight="1">
      <c r="O165" s="43"/>
      <c r="P165" s="43"/>
      <c r="Q165" s="43"/>
      <c r="R165" s="43"/>
    </row>
    <row r="166" ht="15.75" customHeight="1">
      <c r="O166" s="43"/>
      <c r="P166" s="43"/>
      <c r="Q166" s="43"/>
      <c r="R166" s="43"/>
    </row>
    <row r="167" ht="15.75" customHeight="1">
      <c r="O167" s="43"/>
      <c r="P167" s="43"/>
      <c r="Q167" s="43"/>
      <c r="R167" s="43"/>
    </row>
    <row r="168" ht="15.75" customHeight="1">
      <c r="O168" s="43"/>
      <c r="P168" s="43"/>
      <c r="Q168" s="43"/>
      <c r="R168" s="43"/>
    </row>
    <row r="169" ht="15.75" customHeight="1">
      <c r="O169" s="43"/>
      <c r="P169" s="43"/>
      <c r="Q169" s="43"/>
      <c r="R169" s="43"/>
    </row>
    <row r="170" ht="15.75" customHeight="1">
      <c r="O170" s="43"/>
      <c r="P170" s="43"/>
      <c r="Q170" s="43"/>
      <c r="R170" s="43"/>
    </row>
    <row r="171" ht="15.75" customHeight="1">
      <c r="O171" s="43"/>
      <c r="P171" s="43"/>
      <c r="Q171" s="43"/>
      <c r="R171" s="43"/>
    </row>
    <row r="172" ht="15.75" customHeight="1">
      <c r="O172" s="43"/>
      <c r="P172" s="43"/>
      <c r="Q172" s="43"/>
      <c r="R172" s="43"/>
    </row>
    <row r="173" ht="15.75" customHeight="1">
      <c r="O173" s="43"/>
      <c r="P173" s="43"/>
      <c r="Q173" s="43"/>
      <c r="R173" s="43"/>
    </row>
    <row r="174" ht="15.75" customHeight="1">
      <c r="O174" s="43"/>
      <c r="P174" s="43"/>
      <c r="Q174" s="43"/>
      <c r="R174" s="43"/>
    </row>
    <row r="175" ht="15.75" customHeight="1">
      <c r="O175" s="43"/>
      <c r="P175" s="43"/>
      <c r="Q175" s="43"/>
      <c r="R175" s="43"/>
    </row>
    <row r="176" ht="15.75" customHeight="1">
      <c r="O176" s="43"/>
      <c r="P176" s="43"/>
      <c r="Q176" s="43"/>
      <c r="R176" s="43"/>
    </row>
    <row r="177" ht="15.75" customHeight="1">
      <c r="O177" s="43"/>
      <c r="P177" s="43"/>
      <c r="Q177" s="43"/>
      <c r="R177" s="43"/>
    </row>
    <row r="178" ht="15.75" customHeight="1">
      <c r="O178" s="43"/>
      <c r="P178" s="43"/>
      <c r="Q178" s="43"/>
      <c r="R178" s="43"/>
    </row>
    <row r="179" ht="15.75" customHeight="1">
      <c r="O179" s="43"/>
      <c r="P179" s="43"/>
      <c r="Q179" s="43"/>
      <c r="R179" s="43"/>
    </row>
    <row r="180" ht="15.75" customHeight="1">
      <c r="O180" s="43"/>
      <c r="P180" s="43"/>
      <c r="Q180" s="43"/>
      <c r="R180" s="43"/>
    </row>
    <row r="181" ht="15.75" customHeight="1">
      <c r="O181" s="43"/>
      <c r="P181" s="43"/>
      <c r="Q181" s="43"/>
      <c r="R181" s="43"/>
    </row>
    <row r="182" ht="15.75" customHeight="1">
      <c r="O182" s="43"/>
      <c r="P182" s="43"/>
      <c r="Q182" s="43"/>
      <c r="R182" s="43"/>
    </row>
    <row r="183" ht="15.75" customHeight="1">
      <c r="O183" s="43"/>
      <c r="P183" s="43"/>
      <c r="Q183" s="43"/>
      <c r="R183" s="43"/>
    </row>
    <row r="184" ht="15.75" customHeight="1">
      <c r="O184" s="43"/>
      <c r="P184" s="43"/>
      <c r="Q184" s="43"/>
      <c r="R184" s="43"/>
    </row>
    <row r="185" ht="15.75" customHeight="1">
      <c r="O185" s="43"/>
      <c r="P185" s="43"/>
      <c r="Q185" s="43"/>
      <c r="R185" s="43"/>
    </row>
    <row r="186" ht="15.75" customHeight="1">
      <c r="O186" s="43"/>
      <c r="P186" s="43"/>
      <c r="Q186" s="43"/>
      <c r="R186" s="43"/>
    </row>
    <row r="187" ht="15.75" customHeight="1">
      <c r="O187" s="43"/>
      <c r="P187" s="43"/>
      <c r="Q187" s="43"/>
      <c r="R187" s="43"/>
    </row>
    <row r="188" ht="15.75" customHeight="1">
      <c r="O188" s="43"/>
      <c r="P188" s="43"/>
      <c r="Q188" s="43"/>
      <c r="R188" s="43"/>
    </row>
    <row r="189" ht="15.75" customHeight="1">
      <c r="O189" s="43"/>
      <c r="P189" s="43"/>
      <c r="Q189" s="43"/>
      <c r="R189" s="43"/>
    </row>
    <row r="190" ht="15.75" customHeight="1">
      <c r="O190" s="43"/>
      <c r="P190" s="43"/>
      <c r="Q190" s="43"/>
      <c r="R190" s="43"/>
    </row>
    <row r="191" ht="15.75" customHeight="1">
      <c r="O191" s="43"/>
      <c r="P191" s="43"/>
      <c r="Q191" s="43"/>
      <c r="R191" s="43"/>
    </row>
    <row r="192" ht="15.75" customHeight="1">
      <c r="O192" s="43"/>
      <c r="P192" s="43"/>
      <c r="Q192" s="43"/>
      <c r="R192" s="43"/>
    </row>
    <row r="193" ht="15.75" customHeight="1">
      <c r="O193" s="43"/>
      <c r="P193" s="43"/>
      <c r="Q193" s="43"/>
      <c r="R193" s="43"/>
    </row>
    <row r="194" ht="15.75" customHeight="1">
      <c r="O194" s="43"/>
      <c r="P194" s="43"/>
      <c r="Q194" s="43"/>
      <c r="R194" s="43"/>
    </row>
    <row r="195" ht="15.75" customHeight="1">
      <c r="O195" s="43"/>
      <c r="P195" s="43"/>
      <c r="Q195" s="43"/>
      <c r="R195" s="43"/>
    </row>
    <row r="196" ht="15.75" customHeight="1">
      <c r="O196" s="43"/>
      <c r="P196" s="43"/>
      <c r="Q196" s="43"/>
      <c r="R196" s="43"/>
    </row>
    <row r="197" ht="15.75" customHeight="1">
      <c r="O197" s="43"/>
      <c r="P197" s="43"/>
      <c r="Q197" s="43"/>
      <c r="R197" s="43"/>
    </row>
    <row r="198" ht="15.75" customHeight="1">
      <c r="O198" s="43"/>
      <c r="P198" s="43"/>
      <c r="Q198" s="43"/>
      <c r="R198" s="43"/>
    </row>
    <row r="199" ht="15.75" customHeight="1">
      <c r="O199" s="43"/>
      <c r="P199" s="43"/>
      <c r="Q199" s="43"/>
      <c r="R199" s="43"/>
    </row>
    <row r="200" ht="15.75" customHeight="1">
      <c r="O200" s="43"/>
      <c r="P200" s="43"/>
      <c r="Q200" s="43"/>
      <c r="R200" s="43"/>
    </row>
    <row r="201" ht="15.75" customHeight="1">
      <c r="O201" s="43"/>
      <c r="P201" s="43"/>
      <c r="Q201" s="43"/>
      <c r="R201" s="43"/>
    </row>
    <row r="202" ht="15.75" customHeight="1">
      <c r="O202" s="43"/>
      <c r="P202" s="43"/>
      <c r="Q202" s="43"/>
      <c r="R202" s="43"/>
    </row>
    <row r="203" ht="15.75" customHeight="1">
      <c r="O203" s="43"/>
      <c r="P203" s="43"/>
      <c r="Q203" s="43"/>
      <c r="R203" s="43"/>
    </row>
    <row r="204" ht="15.75" customHeight="1">
      <c r="O204" s="43"/>
      <c r="P204" s="43"/>
      <c r="Q204" s="43"/>
      <c r="R204" s="43"/>
    </row>
    <row r="205" ht="15.75" customHeight="1">
      <c r="O205" s="43"/>
      <c r="P205" s="43"/>
      <c r="Q205" s="43"/>
      <c r="R205" s="43"/>
    </row>
    <row r="206" ht="15.75" customHeight="1">
      <c r="O206" s="43"/>
      <c r="P206" s="43"/>
      <c r="Q206" s="43"/>
      <c r="R206" s="43"/>
    </row>
    <row r="207" ht="15.75" customHeight="1">
      <c r="O207" s="43"/>
      <c r="P207" s="43"/>
      <c r="Q207" s="43"/>
      <c r="R207" s="43"/>
    </row>
    <row r="208" ht="15.75" customHeight="1">
      <c r="O208" s="43"/>
      <c r="P208" s="43"/>
      <c r="Q208" s="43"/>
      <c r="R208" s="43"/>
    </row>
    <row r="209" ht="15.75" customHeight="1">
      <c r="O209" s="43"/>
      <c r="P209" s="43"/>
      <c r="Q209" s="43"/>
      <c r="R209" s="43"/>
    </row>
    <row r="210" ht="15.75" customHeight="1">
      <c r="O210" s="43"/>
      <c r="P210" s="43"/>
      <c r="Q210" s="43"/>
      <c r="R210" s="43"/>
    </row>
    <row r="211" ht="15.75" customHeight="1">
      <c r="O211" s="43"/>
      <c r="P211" s="43"/>
      <c r="Q211" s="43"/>
      <c r="R211" s="43"/>
    </row>
    <row r="212" ht="15.75" customHeight="1">
      <c r="O212" s="43"/>
      <c r="P212" s="43"/>
      <c r="Q212" s="43"/>
      <c r="R212" s="43"/>
    </row>
    <row r="213" ht="15.75" customHeight="1">
      <c r="O213" s="43"/>
      <c r="P213" s="43"/>
      <c r="Q213" s="43"/>
      <c r="R213" s="43"/>
    </row>
    <row r="214" ht="15.75" customHeight="1">
      <c r="O214" s="43"/>
      <c r="P214" s="43"/>
      <c r="Q214" s="43"/>
      <c r="R214" s="43"/>
    </row>
    <row r="215" ht="15.75" customHeight="1">
      <c r="O215" s="43"/>
      <c r="P215" s="43"/>
      <c r="Q215" s="43"/>
      <c r="R215" s="43"/>
    </row>
    <row r="216" ht="15.75" customHeight="1">
      <c r="O216" s="43"/>
      <c r="P216" s="43"/>
      <c r="Q216" s="43"/>
      <c r="R216" s="43"/>
    </row>
    <row r="217" ht="15.75" customHeight="1">
      <c r="O217" s="43"/>
      <c r="P217" s="43"/>
      <c r="Q217" s="43"/>
      <c r="R217" s="43"/>
    </row>
    <row r="218" ht="15.75" customHeight="1">
      <c r="O218" s="43"/>
      <c r="P218" s="43"/>
      <c r="Q218" s="43"/>
      <c r="R218" s="43"/>
    </row>
    <row r="219" ht="15.75" customHeight="1">
      <c r="O219" s="43"/>
      <c r="P219" s="43"/>
      <c r="Q219" s="43"/>
      <c r="R219" s="43"/>
    </row>
    <row r="220" ht="15.75" customHeight="1">
      <c r="O220" s="43"/>
      <c r="P220" s="43"/>
      <c r="Q220" s="43"/>
      <c r="R220" s="43"/>
    </row>
    <row r="221" ht="15.75" customHeight="1">
      <c r="O221" s="43"/>
      <c r="P221" s="43"/>
      <c r="Q221" s="43"/>
      <c r="R221" s="43"/>
    </row>
    <row r="222" ht="15.75" customHeight="1">
      <c r="O222" s="43"/>
      <c r="P222" s="43"/>
      <c r="Q222" s="43"/>
      <c r="R222" s="43"/>
    </row>
    <row r="223" ht="15.75" customHeight="1">
      <c r="O223" s="43"/>
      <c r="P223" s="43"/>
      <c r="Q223" s="43"/>
      <c r="R223" s="43"/>
    </row>
    <row r="224" ht="15.75" customHeight="1">
      <c r="O224" s="43"/>
      <c r="P224" s="43"/>
      <c r="Q224" s="43"/>
      <c r="R224" s="43"/>
    </row>
    <row r="225" ht="15.75" customHeight="1">
      <c r="O225" s="43"/>
      <c r="P225" s="43"/>
      <c r="Q225" s="43"/>
      <c r="R225" s="43"/>
    </row>
    <row r="226" ht="15.75" customHeight="1">
      <c r="O226" s="43"/>
      <c r="P226" s="43"/>
      <c r="Q226" s="43"/>
      <c r="R226" s="43"/>
    </row>
    <row r="227" ht="15.75" customHeight="1">
      <c r="O227" s="43"/>
      <c r="P227" s="43"/>
      <c r="Q227" s="43"/>
      <c r="R227" s="43"/>
    </row>
    <row r="228" ht="15.75" customHeight="1">
      <c r="O228" s="43"/>
      <c r="P228" s="43"/>
      <c r="Q228" s="43"/>
      <c r="R228" s="43"/>
    </row>
    <row r="229" ht="15.75" customHeight="1">
      <c r="O229" s="43"/>
      <c r="P229" s="43"/>
      <c r="Q229" s="43"/>
      <c r="R229" s="43"/>
    </row>
    <row r="230" ht="15.75" customHeight="1">
      <c r="O230" s="43"/>
      <c r="P230" s="43"/>
      <c r="Q230" s="43"/>
      <c r="R230" s="43"/>
    </row>
    <row r="231" ht="15.75" customHeight="1">
      <c r="O231" s="43"/>
      <c r="P231" s="43"/>
      <c r="Q231" s="43"/>
      <c r="R231" s="43"/>
    </row>
    <row r="232" ht="15.75" customHeight="1">
      <c r="O232" s="43"/>
      <c r="P232" s="43"/>
      <c r="Q232" s="43"/>
      <c r="R232" s="43"/>
    </row>
    <row r="233" ht="15.75" customHeight="1">
      <c r="O233" s="43"/>
      <c r="P233" s="43"/>
      <c r="Q233" s="43"/>
      <c r="R233" s="43"/>
    </row>
    <row r="234" ht="15.75" customHeight="1">
      <c r="O234" s="43"/>
      <c r="P234" s="43"/>
      <c r="Q234" s="43"/>
      <c r="R234" s="43"/>
    </row>
    <row r="235" ht="15.75" customHeight="1">
      <c r="O235" s="43"/>
      <c r="P235" s="43"/>
      <c r="Q235" s="43"/>
      <c r="R235" s="43"/>
    </row>
    <row r="236" ht="15.75" customHeight="1">
      <c r="O236" s="43"/>
      <c r="P236" s="43"/>
      <c r="Q236" s="43"/>
      <c r="R236" s="43"/>
    </row>
    <row r="237" ht="15.75" customHeight="1">
      <c r="O237" s="43"/>
      <c r="P237" s="43"/>
      <c r="Q237" s="43"/>
      <c r="R237" s="43"/>
    </row>
    <row r="238" ht="15.75" customHeight="1">
      <c r="O238" s="43"/>
      <c r="P238" s="43"/>
      <c r="Q238" s="43"/>
      <c r="R238" s="43"/>
    </row>
    <row r="239" ht="15.75" customHeight="1">
      <c r="O239" s="43"/>
      <c r="P239" s="43"/>
      <c r="Q239" s="43"/>
      <c r="R239" s="43"/>
    </row>
    <row r="240" ht="15.75" customHeight="1">
      <c r="O240" s="43"/>
      <c r="P240" s="43"/>
      <c r="Q240" s="43"/>
      <c r="R240" s="43"/>
    </row>
    <row r="241" ht="15.75" customHeight="1">
      <c r="O241" s="43"/>
      <c r="P241" s="43"/>
      <c r="Q241" s="43"/>
      <c r="R241" s="43"/>
    </row>
    <row r="242" ht="15.75" customHeight="1">
      <c r="O242" s="43"/>
      <c r="P242" s="43"/>
      <c r="Q242" s="43"/>
      <c r="R242" s="43"/>
    </row>
    <row r="243" ht="15.75" customHeight="1">
      <c r="O243" s="43"/>
      <c r="P243" s="43"/>
      <c r="Q243" s="43"/>
      <c r="R243" s="43"/>
    </row>
    <row r="244" ht="15.75" customHeight="1">
      <c r="O244" s="43"/>
      <c r="P244" s="43"/>
      <c r="Q244" s="43"/>
      <c r="R244" s="43"/>
    </row>
    <row r="245" ht="15.75" customHeight="1">
      <c r="O245" s="43"/>
      <c r="P245" s="43"/>
      <c r="Q245" s="43"/>
      <c r="R245" s="43"/>
    </row>
    <row r="246" ht="15.75" customHeight="1">
      <c r="O246" s="43"/>
      <c r="P246" s="43"/>
      <c r="Q246" s="43"/>
      <c r="R246" s="43"/>
    </row>
    <row r="247" ht="15.75" customHeight="1">
      <c r="O247" s="43"/>
      <c r="P247" s="43"/>
      <c r="Q247" s="43"/>
      <c r="R247" s="43"/>
    </row>
    <row r="248" ht="15.75" customHeight="1">
      <c r="O248" s="43"/>
      <c r="P248" s="43"/>
      <c r="Q248" s="43"/>
      <c r="R248" s="43"/>
    </row>
    <row r="249" ht="15.75" customHeight="1">
      <c r="O249" s="43"/>
      <c r="P249" s="43"/>
      <c r="Q249" s="43"/>
      <c r="R249" s="43"/>
    </row>
    <row r="250" ht="15.75" customHeight="1">
      <c r="O250" s="43"/>
      <c r="P250" s="43"/>
      <c r="Q250" s="43"/>
      <c r="R250" s="43"/>
    </row>
    <row r="251" ht="15.75" customHeight="1">
      <c r="O251" s="43"/>
      <c r="P251" s="43"/>
      <c r="Q251" s="43"/>
      <c r="R251" s="43"/>
    </row>
    <row r="252" ht="15.75" customHeight="1">
      <c r="O252" s="43"/>
      <c r="P252" s="43"/>
      <c r="Q252" s="43"/>
      <c r="R252" s="43"/>
    </row>
    <row r="253" ht="15.75" customHeight="1">
      <c r="O253" s="43"/>
      <c r="P253" s="43"/>
      <c r="Q253" s="43"/>
      <c r="R253" s="43"/>
    </row>
    <row r="254" ht="15.75" customHeight="1">
      <c r="O254" s="43"/>
      <c r="P254" s="43"/>
      <c r="Q254" s="43"/>
      <c r="R254" s="43"/>
    </row>
    <row r="255" ht="15.75" customHeight="1">
      <c r="O255" s="43"/>
      <c r="P255" s="43"/>
      <c r="Q255" s="43"/>
      <c r="R255" s="43"/>
    </row>
    <row r="256" ht="15.75" customHeight="1">
      <c r="O256" s="43"/>
      <c r="P256" s="43"/>
      <c r="Q256" s="43"/>
      <c r="R256" s="43"/>
    </row>
    <row r="257" ht="15.75" customHeight="1">
      <c r="O257" s="43"/>
      <c r="P257" s="43"/>
      <c r="Q257" s="43"/>
      <c r="R257" s="43"/>
    </row>
    <row r="258" ht="15.75" customHeight="1">
      <c r="O258" s="43"/>
      <c r="P258" s="43"/>
      <c r="Q258" s="43"/>
      <c r="R258" s="43"/>
    </row>
    <row r="259" ht="15.75" customHeight="1">
      <c r="O259" s="43"/>
      <c r="P259" s="43"/>
      <c r="Q259" s="43"/>
      <c r="R259" s="43"/>
    </row>
    <row r="260" ht="15.75" customHeight="1">
      <c r="O260" s="43"/>
      <c r="P260" s="43"/>
      <c r="Q260" s="43"/>
      <c r="R260" s="43"/>
    </row>
    <row r="261" ht="15.75" customHeight="1">
      <c r="O261" s="43"/>
      <c r="P261" s="43"/>
      <c r="Q261" s="43"/>
      <c r="R261" s="43"/>
    </row>
    <row r="262" ht="15.75" customHeight="1">
      <c r="O262" s="43"/>
      <c r="P262" s="43"/>
      <c r="Q262" s="43"/>
      <c r="R262" s="43"/>
    </row>
    <row r="263" ht="15.75" customHeight="1">
      <c r="O263" s="43"/>
      <c r="P263" s="43"/>
      <c r="Q263" s="43"/>
      <c r="R263" s="43"/>
    </row>
    <row r="264" ht="15.75" customHeight="1">
      <c r="O264" s="43"/>
      <c r="P264" s="43"/>
      <c r="Q264" s="43"/>
      <c r="R264" s="43"/>
    </row>
    <row r="265" ht="15.75" customHeight="1">
      <c r="O265" s="43"/>
      <c r="P265" s="43"/>
      <c r="Q265" s="43"/>
      <c r="R265" s="43"/>
    </row>
    <row r="266" ht="15.75" customHeight="1">
      <c r="O266" s="43"/>
      <c r="P266" s="43"/>
      <c r="Q266" s="43"/>
      <c r="R266" s="43"/>
    </row>
    <row r="267" ht="15.75" customHeight="1">
      <c r="O267" s="43"/>
      <c r="P267" s="43"/>
      <c r="Q267" s="43"/>
      <c r="R267" s="43"/>
    </row>
    <row r="268" ht="15.75" customHeight="1">
      <c r="O268" s="43"/>
      <c r="P268" s="43"/>
      <c r="Q268" s="43"/>
      <c r="R268" s="43"/>
    </row>
    <row r="269" ht="15.75" customHeight="1">
      <c r="O269" s="43"/>
      <c r="P269" s="43"/>
      <c r="Q269" s="43"/>
      <c r="R269" s="43"/>
    </row>
    <row r="270" ht="15.75" customHeight="1">
      <c r="O270" s="43"/>
      <c r="P270" s="43"/>
      <c r="Q270" s="43"/>
      <c r="R270" s="43"/>
    </row>
    <row r="271" ht="15.75" customHeight="1">
      <c r="O271" s="43"/>
      <c r="P271" s="43"/>
      <c r="Q271" s="43"/>
      <c r="R271" s="43"/>
    </row>
    <row r="272" ht="15.75" customHeight="1">
      <c r="O272" s="43"/>
      <c r="P272" s="43"/>
      <c r="Q272" s="43"/>
      <c r="R272" s="43"/>
    </row>
    <row r="273" ht="15.75" customHeight="1">
      <c r="O273" s="43"/>
      <c r="P273" s="43"/>
      <c r="Q273" s="43"/>
      <c r="R273" s="43"/>
    </row>
    <row r="274" ht="15.75" customHeight="1">
      <c r="O274" s="43"/>
      <c r="P274" s="43"/>
      <c r="Q274" s="43"/>
      <c r="R274" s="43"/>
    </row>
    <row r="275" ht="15.75" customHeight="1">
      <c r="O275" s="43"/>
      <c r="P275" s="43"/>
      <c r="Q275" s="43"/>
      <c r="R275" s="43"/>
    </row>
    <row r="276" ht="15.75" customHeight="1">
      <c r="O276" s="43"/>
      <c r="P276" s="43"/>
      <c r="Q276" s="43"/>
      <c r="R276" s="43"/>
    </row>
    <row r="277" ht="15.75" customHeight="1">
      <c r="O277" s="43"/>
      <c r="P277" s="43"/>
      <c r="Q277" s="43"/>
      <c r="R277" s="43"/>
    </row>
    <row r="278" ht="15.75" customHeight="1">
      <c r="O278" s="43"/>
      <c r="P278" s="43"/>
      <c r="Q278" s="43"/>
      <c r="R278" s="43"/>
    </row>
    <row r="279" ht="15.75" customHeight="1">
      <c r="O279" s="43"/>
      <c r="P279" s="43"/>
      <c r="Q279" s="43"/>
      <c r="R279" s="43"/>
    </row>
    <row r="280" ht="15.75" customHeight="1">
      <c r="O280" s="43"/>
      <c r="P280" s="43"/>
      <c r="Q280" s="43"/>
      <c r="R280" s="43"/>
    </row>
    <row r="281" ht="15.75" customHeight="1">
      <c r="O281" s="43"/>
      <c r="P281" s="43"/>
      <c r="Q281" s="43"/>
      <c r="R281" s="43"/>
    </row>
    <row r="282" ht="15.75" customHeight="1">
      <c r="O282" s="43"/>
      <c r="P282" s="43"/>
      <c r="Q282" s="43"/>
      <c r="R282" s="43"/>
    </row>
    <row r="283" ht="15.75" customHeight="1">
      <c r="O283" s="43"/>
      <c r="P283" s="43"/>
      <c r="Q283" s="43"/>
      <c r="R283" s="43"/>
    </row>
    <row r="284" ht="15.75" customHeight="1">
      <c r="O284" s="43"/>
      <c r="P284" s="43"/>
      <c r="Q284" s="43"/>
      <c r="R284" s="43"/>
    </row>
    <row r="285" ht="15.75" customHeight="1">
      <c r="O285" s="43"/>
      <c r="P285" s="43"/>
      <c r="Q285" s="43"/>
      <c r="R285" s="43"/>
    </row>
    <row r="286" ht="15.75" customHeight="1">
      <c r="O286" s="43"/>
      <c r="P286" s="43"/>
      <c r="Q286" s="43"/>
      <c r="R286" s="43"/>
    </row>
    <row r="287" ht="15.75" customHeight="1">
      <c r="O287" s="43"/>
      <c r="P287" s="43"/>
      <c r="Q287" s="43"/>
      <c r="R287" s="43"/>
    </row>
    <row r="288" ht="15.75" customHeight="1">
      <c r="O288" s="43"/>
      <c r="P288" s="43"/>
      <c r="Q288" s="43"/>
      <c r="R288" s="43"/>
    </row>
    <row r="289" ht="15.75" customHeight="1">
      <c r="O289" s="43"/>
      <c r="P289" s="43"/>
      <c r="Q289" s="43"/>
      <c r="R289" s="43"/>
    </row>
    <row r="290" ht="15.75" customHeight="1">
      <c r="O290" s="43"/>
      <c r="P290" s="43"/>
      <c r="Q290" s="43"/>
      <c r="R290" s="43"/>
    </row>
    <row r="291" ht="15.75" customHeight="1">
      <c r="O291" s="43"/>
      <c r="P291" s="43"/>
      <c r="Q291" s="43"/>
      <c r="R291" s="43"/>
    </row>
    <row r="292" ht="15.75" customHeight="1">
      <c r="O292" s="43"/>
      <c r="P292" s="43"/>
      <c r="Q292" s="43"/>
      <c r="R292" s="43"/>
    </row>
    <row r="293" ht="15.75" customHeight="1">
      <c r="O293" s="43"/>
      <c r="P293" s="43"/>
      <c r="Q293" s="43"/>
      <c r="R293" s="43"/>
    </row>
    <row r="294" ht="15.75" customHeight="1">
      <c r="O294" s="43"/>
      <c r="P294" s="43"/>
      <c r="Q294" s="43"/>
      <c r="R294" s="43"/>
    </row>
    <row r="295" ht="15.75" customHeight="1">
      <c r="O295" s="43"/>
      <c r="P295" s="43"/>
      <c r="Q295" s="43"/>
      <c r="R295" s="43"/>
    </row>
    <row r="296" ht="15.75" customHeight="1">
      <c r="O296" s="43"/>
      <c r="P296" s="43"/>
      <c r="Q296" s="43"/>
      <c r="R296" s="43"/>
    </row>
    <row r="297" ht="15.75" customHeight="1">
      <c r="O297" s="43"/>
      <c r="P297" s="43"/>
      <c r="Q297" s="43"/>
      <c r="R297" s="43"/>
    </row>
    <row r="298" ht="15.75" customHeight="1">
      <c r="O298" s="43"/>
      <c r="P298" s="43"/>
      <c r="Q298" s="43"/>
      <c r="R298" s="43"/>
    </row>
    <row r="299" ht="15.75" customHeight="1">
      <c r="O299" s="43"/>
      <c r="P299" s="43"/>
      <c r="Q299" s="43"/>
      <c r="R299" s="43"/>
    </row>
    <row r="300" ht="15.75" customHeight="1">
      <c r="O300" s="43"/>
      <c r="P300" s="43"/>
      <c r="Q300" s="43"/>
      <c r="R300" s="43"/>
    </row>
    <row r="301" ht="15.75" customHeight="1">
      <c r="O301" s="43"/>
      <c r="P301" s="43"/>
      <c r="Q301" s="43"/>
      <c r="R301" s="43"/>
    </row>
    <row r="302" ht="15.75" customHeight="1">
      <c r="O302" s="43"/>
      <c r="P302" s="43"/>
      <c r="Q302" s="43"/>
      <c r="R302" s="43"/>
    </row>
    <row r="303" ht="15.75" customHeight="1">
      <c r="O303" s="43"/>
      <c r="P303" s="43"/>
      <c r="Q303" s="43"/>
      <c r="R303" s="43"/>
    </row>
    <row r="304" ht="15.75" customHeight="1">
      <c r="O304" s="43"/>
      <c r="P304" s="43"/>
      <c r="Q304" s="43"/>
      <c r="R304" s="43"/>
    </row>
    <row r="305" ht="15.75" customHeight="1">
      <c r="O305" s="43"/>
      <c r="P305" s="43"/>
      <c r="Q305" s="43"/>
      <c r="R305" s="43"/>
    </row>
    <row r="306" ht="15.75" customHeight="1">
      <c r="O306" s="43"/>
      <c r="P306" s="43"/>
      <c r="Q306" s="43"/>
      <c r="R306" s="43"/>
    </row>
    <row r="307" ht="15.75" customHeight="1">
      <c r="O307" s="43"/>
      <c r="P307" s="43"/>
      <c r="Q307" s="43"/>
      <c r="R307" s="43"/>
    </row>
    <row r="308" ht="15.75" customHeight="1">
      <c r="O308" s="43"/>
      <c r="P308" s="43"/>
      <c r="Q308" s="43"/>
      <c r="R308" s="43"/>
    </row>
    <row r="309" ht="15.75" customHeight="1">
      <c r="O309" s="43"/>
      <c r="P309" s="43"/>
      <c r="Q309" s="43"/>
      <c r="R309" s="43"/>
    </row>
    <row r="310" ht="15.75" customHeight="1">
      <c r="O310" s="43"/>
      <c r="P310" s="43"/>
      <c r="Q310" s="43"/>
      <c r="R310" s="43"/>
    </row>
    <row r="311" ht="15.75" customHeight="1">
      <c r="O311" s="43"/>
      <c r="P311" s="43"/>
      <c r="Q311" s="43"/>
      <c r="R311" s="43"/>
    </row>
    <row r="312" ht="15.75" customHeight="1">
      <c r="O312" s="43"/>
      <c r="P312" s="43"/>
      <c r="Q312" s="43"/>
      <c r="R312" s="43"/>
    </row>
    <row r="313" ht="15.75" customHeight="1">
      <c r="O313" s="43"/>
      <c r="P313" s="43"/>
      <c r="Q313" s="43"/>
      <c r="R313" s="43"/>
    </row>
    <row r="314" ht="15.75" customHeight="1">
      <c r="O314" s="43"/>
      <c r="P314" s="43"/>
      <c r="Q314" s="43"/>
      <c r="R314" s="43"/>
    </row>
    <row r="315" ht="15.75" customHeight="1">
      <c r="O315" s="43"/>
      <c r="P315" s="43"/>
      <c r="Q315" s="43"/>
      <c r="R315" s="43"/>
    </row>
    <row r="316" ht="15.75" customHeight="1">
      <c r="O316" s="43"/>
      <c r="P316" s="43"/>
      <c r="Q316" s="43"/>
      <c r="R316" s="43"/>
    </row>
    <row r="317" ht="15.75" customHeight="1">
      <c r="O317" s="43"/>
      <c r="P317" s="43"/>
      <c r="Q317" s="43"/>
      <c r="R317" s="43"/>
    </row>
    <row r="318" ht="15.75" customHeight="1">
      <c r="O318" s="43"/>
      <c r="P318" s="43"/>
      <c r="Q318" s="43"/>
      <c r="R318" s="43"/>
    </row>
    <row r="319" ht="15.75" customHeight="1">
      <c r="O319" s="43"/>
      <c r="P319" s="43"/>
      <c r="Q319" s="43"/>
      <c r="R319" s="43"/>
    </row>
    <row r="320" ht="15.75" customHeight="1">
      <c r="O320" s="43"/>
      <c r="P320" s="43"/>
      <c r="Q320" s="43"/>
      <c r="R320" s="43"/>
    </row>
    <row r="321" ht="15.75" customHeight="1">
      <c r="O321" s="43"/>
      <c r="P321" s="43"/>
      <c r="Q321" s="43"/>
      <c r="R321" s="43"/>
    </row>
    <row r="322" ht="15.75" customHeight="1">
      <c r="O322" s="43"/>
      <c r="P322" s="43"/>
      <c r="Q322" s="43"/>
      <c r="R322" s="43"/>
    </row>
    <row r="323" ht="15.75" customHeight="1">
      <c r="O323" s="43"/>
      <c r="P323" s="43"/>
      <c r="Q323" s="43"/>
      <c r="R323" s="43"/>
    </row>
    <row r="324" ht="15.75" customHeight="1">
      <c r="O324" s="43"/>
      <c r="P324" s="43"/>
      <c r="Q324" s="43"/>
      <c r="R324" s="43"/>
    </row>
    <row r="325" ht="15.75" customHeight="1">
      <c r="O325" s="43"/>
      <c r="P325" s="43"/>
      <c r="Q325" s="43"/>
      <c r="R325" s="43"/>
    </row>
    <row r="326" ht="15.75" customHeight="1">
      <c r="O326" s="43"/>
      <c r="P326" s="43"/>
      <c r="Q326" s="43"/>
      <c r="R326" s="43"/>
    </row>
    <row r="327" ht="15.75" customHeight="1">
      <c r="O327" s="43"/>
      <c r="P327" s="43"/>
      <c r="Q327" s="43"/>
      <c r="R327" s="43"/>
    </row>
    <row r="328" ht="15.75" customHeight="1">
      <c r="O328" s="43"/>
      <c r="P328" s="43"/>
      <c r="Q328" s="43"/>
      <c r="R328" s="43"/>
    </row>
    <row r="329" ht="15.75" customHeight="1">
      <c r="O329" s="43"/>
      <c r="P329" s="43"/>
      <c r="Q329" s="43"/>
      <c r="R329" s="43"/>
    </row>
    <row r="330" ht="15.75" customHeight="1">
      <c r="O330" s="43"/>
      <c r="P330" s="43"/>
      <c r="Q330" s="43"/>
      <c r="R330" s="43"/>
    </row>
    <row r="331" ht="15.75" customHeight="1">
      <c r="O331" s="43"/>
      <c r="P331" s="43"/>
      <c r="Q331" s="43"/>
      <c r="R331" s="43"/>
    </row>
    <row r="332" ht="15.75" customHeight="1">
      <c r="O332" s="43"/>
      <c r="P332" s="43"/>
      <c r="Q332" s="43"/>
      <c r="R332" s="43"/>
    </row>
    <row r="333" ht="15.75" customHeight="1">
      <c r="O333" s="43"/>
      <c r="P333" s="43"/>
      <c r="Q333" s="43"/>
      <c r="R333" s="43"/>
    </row>
    <row r="334" ht="15.75" customHeight="1">
      <c r="O334" s="43"/>
      <c r="P334" s="43"/>
      <c r="Q334" s="43"/>
      <c r="R334" s="43"/>
    </row>
    <row r="335" ht="15.75" customHeight="1">
      <c r="O335" s="43"/>
      <c r="P335" s="43"/>
      <c r="Q335" s="43"/>
      <c r="R335" s="43"/>
    </row>
    <row r="336" ht="15.75" customHeight="1">
      <c r="O336" s="43"/>
      <c r="P336" s="43"/>
      <c r="Q336" s="43"/>
      <c r="R336" s="43"/>
    </row>
    <row r="337" ht="15.75" customHeight="1">
      <c r="O337" s="43"/>
      <c r="P337" s="43"/>
      <c r="Q337" s="43"/>
      <c r="R337" s="43"/>
    </row>
    <row r="338" ht="15.75" customHeight="1">
      <c r="O338" s="43"/>
      <c r="P338" s="43"/>
      <c r="Q338" s="43"/>
      <c r="R338" s="43"/>
    </row>
    <row r="339" ht="15.75" customHeight="1">
      <c r="O339" s="43"/>
      <c r="P339" s="43"/>
      <c r="Q339" s="43"/>
      <c r="R339" s="43"/>
    </row>
    <row r="340" ht="15.75" customHeight="1">
      <c r="O340" s="43"/>
      <c r="P340" s="43"/>
      <c r="Q340" s="43"/>
      <c r="R340" s="43"/>
    </row>
    <row r="341" ht="15.75" customHeight="1">
      <c r="O341" s="43"/>
      <c r="P341" s="43"/>
      <c r="Q341" s="43"/>
      <c r="R341" s="43"/>
    </row>
    <row r="342" ht="15.75" customHeight="1">
      <c r="O342" s="43"/>
      <c r="P342" s="43"/>
      <c r="Q342" s="43"/>
      <c r="R342" s="43"/>
    </row>
    <row r="343" ht="15.75" customHeight="1">
      <c r="O343" s="43"/>
      <c r="P343" s="43"/>
      <c r="Q343" s="43"/>
      <c r="R343" s="43"/>
    </row>
    <row r="344" ht="15.75" customHeight="1">
      <c r="O344" s="43"/>
      <c r="P344" s="43"/>
      <c r="Q344" s="43"/>
      <c r="R344" s="43"/>
    </row>
    <row r="345" ht="15.75" customHeight="1">
      <c r="O345" s="43"/>
      <c r="P345" s="43"/>
      <c r="Q345" s="43"/>
      <c r="R345" s="43"/>
    </row>
    <row r="346" ht="15.75" customHeight="1">
      <c r="O346" s="43"/>
      <c r="P346" s="43"/>
      <c r="Q346" s="43"/>
      <c r="R346" s="43"/>
    </row>
    <row r="347" ht="15.75" customHeight="1">
      <c r="O347" s="43"/>
      <c r="P347" s="43"/>
      <c r="Q347" s="43"/>
      <c r="R347" s="43"/>
    </row>
    <row r="348" ht="15.75" customHeight="1">
      <c r="O348" s="43"/>
      <c r="P348" s="43"/>
      <c r="Q348" s="43"/>
      <c r="R348" s="43"/>
    </row>
    <row r="349" ht="15.75" customHeight="1">
      <c r="O349" s="43"/>
      <c r="P349" s="43"/>
      <c r="Q349" s="43"/>
      <c r="R349" s="43"/>
    </row>
    <row r="350" ht="15.75" customHeight="1">
      <c r="O350" s="43"/>
      <c r="P350" s="43"/>
      <c r="Q350" s="43"/>
      <c r="R350" s="43"/>
    </row>
    <row r="351" ht="15.75" customHeight="1">
      <c r="O351" s="43"/>
      <c r="P351" s="43"/>
      <c r="Q351" s="43"/>
      <c r="R351" s="43"/>
    </row>
    <row r="352" ht="15.75" customHeight="1">
      <c r="O352" s="43"/>
      <c r="P352" s="43"/>
      <c r="Q352" s="43"/>
      <c r="R352" s="43"/>
    </row>
    <row r="353" ht="15.75" customHeight="1">
      <c r="O353" s="43"/>
      <c r="P353" s="43"/>
      <c r="Q353" s="43"/>
      <c r="R353" s="43"/>
    </row>
    <row r="354" ht="15.75" customHeight="1">
      <c r="O354" s="43"/>
      <c r="P354" s="43"/>
      <c r="Q354" s="43"/>
      <c r="R354" s="43"/>
    </row>
    <row r="355" ht="15.75" customHeight="1">
      <c r="O355" s="43"/>
      <c r="P355" s="43"/>
      <c r="Q355" s="43"/>
      <c r="R355" s="43"/>
    </row>
    <row r="356" ht="15.75" customHeight="1">
      <c r="O356" s="43"/>
      <c r="P356" s="43"/>
      <c r="Q356" s="43"/>
      <c r="R356" s="43"/>
    </row>
    <row r="357" ht="15.75" customHeight="1">
      <c r="O357" s="43"/>
      <c r="P357" s="43"/>
      <c r="Q357" s="43"/>
      <c r="R357" s="43"/>
    </row>
    <row r="358" ht="15.75" customHeight="1">
      <c r="O358" s="43"/>
      <c r="P358" s="43"/>
      <c r="Q358" s="43"/>
      <c r="R358" s="43"/>
    </row>
    <row r="359" ht="15.75" customHeight="1">
      <c r="O359" s="43"/>
      <c r="P359" s="43"/>
      <c r="Q359" s="43"/>
      <c r="R359" s="43"/>
    </row>
    <row r="360" ht="15.75" customHeight="1">
      <c r="O360" s="43"/>
      <c r="P360" s="43"/>
      <c r="Q360" s="43"/>
      <c r="R360" s="43"/>
    </row>
    <row r="361" ht="15.75" customHeight="1">
      <c r="O361" s="43"/>
      <c r="P361" s="43"/>
      <c r="Q361" s="43"/>
      <c r="R361" s="43"/>
    </row>
    <row r="362" ht="15.75" customHeight="1">
      <c r="O362" s="43"/>
      <c r="P362" s="43"/>
      <c r="Q362" s="43"/>
      <c r="R362" s="43"/>
    </row>
    <row r="363" ht="15.75" customHeight="1">
      <c r="O363" s="43"/>
      <c r="P363" s="43"/>
      <c r="Q363" s="43"/>
      <c r="R363" s="43"/>
    </row>
    <row r="364" ht="15.75" customHeight="1">
      <c r="O364" s="43"/>
      <c r="P364" s="43"/>
      <c r="Q364" s="43"/>
      <c r="R364" s="43"/>
    </row>
    <row r="365" ht="15.75" customHeight="1">
      <c r="O365" s="43"/>
      <c r="P365" s="43"/>
      <c r="Q365" s="43"/>
      <c r="R365" s="43"/>
    </row>
    <row r="366" ht="15.75" customHeight="1">
      <c r="O366" s="43"/>
      <c r="P366" s="43"/>
      <c r="Q366" s="43"/>
      <c r="R366" s="43"/>
    </row>
    <row r="367" ht="15.75" customHeight="1">
      <c r="O367" s="43"/>
      <c r="P367" s="43"/>
      <c r="Q367" s="43"/>
      <c r="R367" s="43"/>
    </row>
    <row r="368" ht="15.75" customHeight="1">
      <c r="O368" s="43"/>
      <c r="P368" s="43"/>
      <c r="Q368" s="43"/>
      <c r="R368" s="43"/>
    </row>
    <row r="369" ht="15.75" customHeight="1">
      <c r="O369" s="43"/>
      <c r="P369" s="43"/>
      <c r="Q369" s="43"/>
      <c r="R369" s="43"/>
    </row>
    <row r="370" ht="15.75" customHeight="1">
      <c r="O370" s="43"/>
      <c r="P370" s="43"/>
      <c r="Q370" s="43"/>
      <c r="R370" s="43"/>
    </row>
    <row r="371" ht="15.75" customHeight="1">
      <c r="O371" s="43"/>
      <c r="P371" s="43"/>
      <c r="Q371" s="43"/>
      <c r="R371" s="43"/>
    </row>
    <row r="372" ht="15.75" customHeight="1">
      <c r="O372" s="43"/>
      <c r="P372" s="43"/>
      <c r="Q372" s="43"/>
      <c r="R372" s="43"/>
    </row>
    <row r="373" ht="15.75" customHeight="1">
      <c r="O373" s="43"/>
      <c r="P373" s="43"/>
      <c r="Q373" s="43"/>
      <c r="R373" s="43"/>
    </row>
    <row r="374" ht="15.75" customHeight="1">
      <c r="O374" s="43"/>
      <c r="P374" s="43"/>
      <c r="Q374" s="43"/>
      <c r="R374" s="43"/>
    </row>
    <row r="375" ht="15.75" customHeight="1">
      <c r="O375" s="43"/>
      <c r="P375" s="43"/>
      <c r="Q375" s="43"/>
      <c r="R375" s="43"/>
    </row>
    <row r="376" ht="15.75" customHeight="1">
      <c r="O376" s="43"/>
      <c r="P376" s="43"/>
      <c r="Q376" s="43"/>
      <c r="R376" s="43"/>
    </row>
    <row r="377" ht="15.75" customHeight="1">
      <c r="O377" s="43"/>
      <c r="P377" s="43"/>
      <c r="Q377" s="43"/>
      <c r="R377" s="43"/>
    </row>
    <row r="378" ht="15.75" customHeight="1">
      <c r="O378" s="43"/>
      <c r="P378" s="43"/>
      <c r="Q378" s="43"/>
      <c r="R378" s="43"/>
    </row>
    <row r="379" ht="15.75" customHeight="1">
      <c r="O379" s="43"/>
      <c r="P379" s="43"/>
      <c r="Q379" s="43"/>
      <c r="R379" s="43"/>
    </row>
    <row r="380" ht="15.75" customHeight="1">
      <c r="O380" s="43"/>
      <c r="P380" s="43"/>
      <c r="Q380" s="43"/>
      <c r="R380" s="43"/>
    </row>
    <row r="381" ht="15.75" customHeight="1">
      <c r="O381" s="43"/>
      <c r="P381" s="43"/>
      <c r="Q381" s="43"/>
      <c r="R381" s="43"/>
    </row>
    <row r="382" ht="15.75" customHeight="1">
      <c r="O382" s="43"/>
      <c r="P382" s="43"/>
      <c r="Q382" s="43"/>
      <c r="R382" s="43"/>
    </row>
    <row r="383" ht="15.75" customHeight="1">
      <c r="O383" s="43"/>
      <c r="P383" s="43"/>
      <c r="Q383" s="43"/>
      <c r="R383" s="43"/>
    </row>
    <row r="384" ht="15.75" customHeight="1">
      <c r="O384" s="43"/>
      <c r="P384" s="43"/>
      <c r="Q384" s="43"/>
      <c r="R384" s="43"/>
    </row>
    <row r="385" ht="15.75" customHeight="1">
      <c r="O385" s="43"/>
      <c r="P385" s="43"/>
      <c r="Q385" s="43"/>
      <c r="R385" s="43"/>
    </row>
    <row r="386" ht="15.75" customHeight="1">
      <c r="O386" s="43"/>
      <c r="P386" s="43"/>
      <c r="Q386" s="43"/>
      <c r="R386" s="43"/>
    </row>
    <row r="387" ht="15.75" customHeight="1">
      <c r="O387" s="43"/>
      <c r="P387" s="43"/>
      <c r="Q387" s="43"/>
      <c r="R387" s="43"/>
    </row>
    <row r="388" ht="15.75" customHeight="1">
      <c r="O388" s="43"/>
      <c r="P388" s="43"/>
      <c r="Q388" s="43"/>
      <c r="R388" s="43"/>
    </row>
    <row r="389" ht="15.75" customHeight="1">
      <c r="O389" s="43"/>
      <c r="P389" s="43"/>
      <c r="Q389" s="43"/>
      <c r="R389" s="43"/>
    </row>
    <row r="390" ht="15.75" customHeight="1">
      <c r="O390" s="43"/>
      <c r="P390" s="43"/>
      <c r="Q390" s="43"/>
      <c r="R390" s="43"/>
    </row>
    <row r="391" ht="15.75" customHeight="1">
      <c r="O391" s="43"/>
      <c r="P391" s="43"/>
      <c r="Q391" s="43"/>
      <c r="R391" s="43"/>
    </row>
    <row r="392" ht="15.75" customHeight="1">
      <c r="O392" s="43"/>
      <c r="P392" s="43"/>
      <c r="Q392" s="43"/>
      <c r="R392" s="43"/>
    </row>
    <row r="393" ht="15.75" customHeight="1">
      <c r="O393" s="43"/>
      <c r="P393" s="43"/>
      <c r="Q393" s="43"/>
      <c r="R393" s="43"/>
    </row>
    <row r="394" ht="15.75" customHeight="1">
      <c r="O394" s="43"/>
      <c r="P394" s="43"/>
      <c r="Q394" s="43"/>
      <c r="R394" s="43"/>
    </row>
    <row r="395" ht="15.75" customHeight="1">
      <c r="O395" s="43"/>
      <c r="P395" s="43"/>
      <c r="Q395" s="43"/>
      <c r="R395" s="43"/>
    </row>
    <row r="396" ht="15.75" customHeight="1">
      <c r="O396" s="43"/>
      <c r="P396" s="43"/>
      <c r="Q396" s="43"/>
      <c r="R396" s="43"/>
    </row>
    <row r="397" ht="15.75" customHeight="1">
      <c r="O397" s="43"/>
      <c r="P397" s="43"/>
      <c r="Q397" s="43"/>
      <c r="R397" s="43"/>
    </row>
    <row r="398" ht="15.75" customHeight="1">
      <c r="O398" s="43"/>
      <c r="P398" s="43"/>
      <c r="Q398" s="43"/>
      <c r="R398" s="43"/>
    </row>
    <row r="399" ht="15.75" customHeight="1">
      <c r="O399" s="43"/>
      <c r="P399" s="43"/>
      <c r="Q399" s="43"/>
      <c r="R399" s="43"/>
    </row>
    <row r="400" ht="15.75" customHeight="1">
      <c r="O400" s="43"/>
      <c r="P400" s="43"/>
      <c r="Q400" s="43"/>
      <c r="R400" s="43"/>
    </row>
    <row r="401" ht="15.75" customHeight="1">
      <c r="O401" s="43"/>
      <c r="P401" s="43"/>
      <c r="Q401" s="43"/>
      <c r="R401" s="43"/>
    </row>
    <row r="402" ht="15.75" customHeight="1">
      <c r="O402" s="43"/>
      <c r="P402" s="43"/>
      <c r="Q402" s="43"/>
      <c r="R402" s="43"/>
    </row>
    <row r="403" ht="15.75" customHeight="1">
      <c r="O403" s="43"/>
      <c r="P403" s="43"/>
      <c r="Q403" s="43"/>
      <c r="R403" s="43"/>
    </row>
    <row r="404" ht="15.75" customHeight="1">
      <c r="O404" s="43"/>
      <c r="P404" s="43"/>
      <c r="Q404" s="43"/>
      <c r="R404" s="43"/>
    </row>
    <row r="405" ht="15.75" customHeight="1">
      <c r="O405" s="43"/>
      <c r="P405" s="43"/>
      <c r="Q405" s="43"/>
      <c r="R405" s="43"/>
    </row>
    <row r="406" ht="15.75" customHeight="1">
      <c r="O406" s="43"/>
      <c r="P406" s="43"/>
      <c r="Q406" s="43"/>
      <c r="R406" s="43"/>
    </row>
    <row r="407" ht="15.75" customHeight="1">
      <c r="O407" s="43"/>
      <c r="P407" s="43"/>
      <c r="Q407" s="43"/>
      <c r="R407" s="43"/>
    </row>
    <row r="408" ht="15.75" customHeight="1">
      <c r="O408" s="43"/>
      <c r="P408" s="43"/>
      <c r="Q408" s="43"/>
      <c r="R408" s="43"/>
    </row>
    <row r="409" ht="15.75" customHeight="1">
      <c r="O409" s="43"/>
      <c r="P409" s="43"/>
      <c r="Q409" s="43"/>
      <c r="R409" s="43"/>
    </row>
    <row r="410" ht="15.75" customHeight="1">
      <c r="O410" s="43"/>
      <c r="P410" s="43"/>
      <c r="Q410" s="43"/>
      <c r="R410" s="43"/>
    </row>
    <row r="411" ht="15.75" customHeight="1">
      <c r="O411" s="43"/>
      <c r="P411" s="43"/>
      <c r="Q411" s="43"/>
      <c r="R411" s="43"/>
    </row>
    <row r="412" ht="15.75" customHeight="1">
      <c r="O412" s="43"/>
      <c r="P412" s="43"/>
      <c r="Q412" s="43"/>
      <c r="R412" s="43"/>
    </row>
    <row r="413" ht="15.75" customHeight="1">
      <c r="O413" s="43"/>
      <c r="P413" s="43"/>
      <c r="Q413" s="43"/>
      <c r="R413" s="43"/>
    </row>
    <row r="414" ht="15.75" customHeight="1">
      <c r="O414" s="43"/>
      <c r="P414" s="43"/>
      <c r="Q414" s="43"/>
      <c r="R414" s="43"/>
    </row>
    <row r="415" ht="15.75" customHeight="1">
      <c r="O415" s="43"/>
      <c r="P415" s="43"/>
      <c r="Q415" s="43"/>
      <c r="R415" s="43"/>
    </row>
    <row r="416" ht="15.75" customHeight="1">
      <c r="O416" s="43"/>
      <c r="P416" s="43"/>
      <c r="Q416" s="43"/>
      <c r="R416" s="43"/>
    </row>
    <row r="417" ht="15.75" customHeight="1">
      <c r="O417" s="43"/>
      <c r="P417" s="43"/>
      <c r="Q417" s="43"/>
      <c r="R417" s="43"/>
    </row>
    <row r="418" ht="15.75" customHeight="1">
      <c r="O418" s="43"/>
      <c r="P418" s="43"/>
      <c r="Q418" s="43"/>
      <c r="R418" s="43"/>
    </row>
    <row r="419" ht="15.75" customHeight="1">
      <c r="O419" s="43"/>
      <c r="P419" s="43"/>
      <c r="Q419" s="43"/>
      <c r="R419" s="43"/>
    </row>
    <row r="420" ht="15.75" customHeight="1">
      <c r="O420" s="43"/>
      <c r="P420" s="43"/>
      <c r="Q420" s="43"/>
      <c r="R420" s="43"/>
    </row>
    <row r="421" ht="15.75" customHeight="1">
      <c r="O421" s="43"/>
      <c r="P421" s="43"/>
      <c r="Q421" s="43"/>
      <c r="R421" s="43"/>
    </row>
    <row r="422" ht="15.75" customHeight="1">
      <c r="O422" s="43"/>
      <c r="P422" s="43"/>
      <c r="Q422" s="43"/>
      <c r="R422" s="43"/>
    </row>
    <row r="423" ht="15.75" customHeight="1">
      <c r="O423" s="43"/>
      <c r="P423" s="43"/>
      <c r="Q423" s="43"/>
      <c r="R423" s="43"/>
    </row>
    <row r="424" ht="15.75" customHeight="1">
      <c r="O424" s="43"/>
      <c r="P424" s="43"/>
      <c r="Q424" s="43"/>
      <c r="R424" s="43"/>
    </row>
    <row r="425" ht="15.75" customHeight="1">
      <c r="O425" s="43"/>
      <c r="P425" s="43"/>
      <c r="Q425" s="43"/>
      <c r="R425" s="43"/>
    </row>
    <row r="426" ht="15.75" customHeight="1">
      <c r="O426" s="43"/>
      <c r="P426" s="43"/>
      <c r="Q426" s="43"/>
      <c r="R426" s="43"/>
    </row>
    <row r="427" ht="15.75" customHeight="1">
      <c r="O427" s="43"/>
      <c r="P427" s="43"/>
      <c r="Q427" s="43"/>
      <c r="R427" s="43"/>
    </row>
    <row r="428" ht="15.75" customHeight="1">
      <c r="O428" s="43"/>
      <c r="P428" s="43"/>
      <c r="Q428" s="43"/>
      <c r="R428" s="43"/>
    </row>
    <row r="429" ht="15.75" customHeight="1">
      <c r="O429" s="43"/>
      <c r="P429" s="43"/>
      <c r="Q429" s="43"/>
      <c r="R429" s="43"/>
    </row>
    <row r="430" ht="15.75" customHeight="1">
      <c r="O430" s="43"/>
      <c r="P430" s="43"/>
      <c r="Q430" s="43"/>
      <c r="R430" s="43"/>
    </row>
    <row r="431" ht="15.75" customHeight="1">
      <c r="O431" s="43"/>
      <c r="P431" s="43"/>
      <c r="Q431" s="43"/>
      <c r="R431" s="43"/>
    </row>
    <row r="432" ht="15.75" customHeight="1">
      <c r="O432" s="43"/>
      <c r="P432" s="43"/>
      <c r="Q432" s="43"/>
      <c r="R432" s="43"/>
    </row>
    <row r="433" ht="15.75" customHeight="1">
      <c r="O433" s="43"/>
      <c r="P433" s="43"/>
      <c r="Q433" s="43"/>
      <c r="R433" s="43"/>
    </row>
    <row r="434" ht="15.75" customHeight="1">
      <c r="O434" s="43"/>
      <c r="P434" s="43"/>
      <c r="Q434" s="43"/>
      <c r="R434" s="43"/>
    </row>
    <row r="435" ht="15.75" customHeight="1">
      <c r="O435" s="43"/>
      <c r="P435" s="43"/>
      <c r="Q435" s="43"/>
      <c r="R435" s="43"/>
    </row>
    <row r="436" ht="15.75" customHeight="1">
      <c r="O436" s="43"/>
      <c r="P436" s="43"/>
      <c r="Q436" s="43"/>
      <c r="R436" s="43"/>
    </row>
    <row r="437" ht="15.75" customHeight="1">
      <c r="O437" s="43"/>
      <c r="P437" s="43"/>
      <c r="Q437" s="43"/>
      <c r="R437" s="43"/>
    </row>
    <row r="438" ht="15.75" customHeight="1">
      <c r="O438" s="43"/>
      <c r="P438" s="43"/>
      <c r="Q438" s="43"/>
      <c r="R438" s="43"/>
    </row>
    <row r="439" ht="15.75" customHeight="1">
      <c r="O439" s="43"/>
      <c r="P439" s="43"/>
      <c r="Q439" s="43"/>
      <c r="R439" s="43"/>
    </row>
    <row r="440" ht="15.75" customHeight="1">
      <c r="O440" s="43"/>
      <c r="P440" s="43"/>
      <c r="Q440" s="43"/>
      <c r="R440" s="43"/>
    </row>
    <row r="441" ht="15.75" customHeight="1">
      <c r="O441" s="43"/>
      <c r="P441" s="43"/>
      <c r="Q441" s="43"/>
      <c r="R441" s="43"/>
    </row>
    <row r="442" ht="15.75" customHeight="1">
      <c r="O442" s="43"/>
      <c r="P442" s="43"/>
      <c r="Q442" s="43"/>
      <c r="R442" s="43"/>
    </row>
    <row r="443" ht="15.75" customHeight="1">
      <c r="O443" s="43"/>
      <c r="P443" s="43"/>
      <c r="Q443" s="43"/>
      <c r="R443" s="43"/>
    </row>
    <row r="444" ht="15.75" customHeight="1">
      <c r="O444" s="43"/>
      <c r="P444" s="43"/>
      <c r="Q444" s="43"/>
      <c r="R444" s="43"/>
    </row>
    <row r="445" ht="15.75" customHeight="1">
      <c r="O445" s="43"/>
      <c r="P445" s="43"/>
      <c r="Q445" s="43"/>
      <c r="R445" s="43"/>
    </row>
    <row r="446" ht="15.75" customHeight="1">
      <c r="O446" s="43"/>
      <c r="P446" s="43"/>
      <c r="Q446" s="43"/>
      <c r="R446" s="43"/>
    </row>
    <row r="447" ht="15.75" customHeight="1">
      <c r="O447" s="43"/>
      <c r="P447" s="43"/>
      <c r="Q447" s="43"/>
      <c r="R447" s="43"/>
    </row>
    <row r="448" ht="15.75" customHeight="1">
      <c r="O448" s="43"/>
      <c r="P448" s="43"/>
      <c r="Q448" s="43"/>
      <c r="R448" s="43"/>
    </row>
    <row r="449" ht="15.75" customHeight="1">
      <c r="O449" s="43"/>
      <c r="P449" s="43"/>
      <c r="Q449" s="43"/>
      <c r="R449" s="43"/>
    </row>
    <row r="450" ht="15.75" customHeight="1">
      <c r="O450" s="43"/>
      <c r="P450" s="43"/>
      <c r="Q450" s="43"/>
      <c r="R450" s="43"/>
    </row>
    <row r="451" ht="15.75" customHeight="1">
      <c r="O451" s="43"/>
      <c r="P451" s="43"/>
      <c r="Q451" s="43"/>
      <c r="R451" s="43"/>
    </row>
    <row r="452" ht="15.75" customHeight="1">
      <c r="O452" s="43"/>
      <c r="P452" s="43"/>
      <c r="Q452" s="43"/>
      <c r="R452" s="43"/>
    </row>
    <row r="453" ht="15.75" customHeight="1">
      <c r="O453" s="43"/>
      <c r="P453" s="43"/>
      <c r="Q453" s="43"/>
      <c r="R453" s="43"/>
    </row>
    <row r="454" ht="15.75" customHeight="1">
      <c r="O454" s="43"/>
      <c r="P454" s="43"/>
      <c r="Q454" s="43"/>
      <c r="R454" s="43"/>
    </row>
    <row r="455" ht="15.75" customHeight="1">
      <c r="O455" s="43"/>
      <c r="P455" s="43"/>
      <c r="Q455" s="43"/>
      <c r="R455" s="43"/>
    </row>
    <row r="456" ht="15.75" customHeight="1">
      <c r="O456" s="43"/>
      <c r="P456" s="43"/>
      <c r="Q456" s="43"/>
      <c r="R456" s="43"/>
    </row>
    <row r="457" ht="15.75" customHeight="1">
      <c r="O457" s="43"/>
      <c r="P457" s="43"/>
      <c r="Q457" s="43"/>
      <c r="R457" s="43"/>
    </row>
    <row r="458" ht="15.75" customHeight="1">
      <c r="O458" s="43"/>
      <c r="P458" s="43"/>
      <c r="Q458" s="43"/>
      <c r="R458" s="43"/>
    </row>
    <row r="459" ht="15.75" customHeight="1">
      <c r="O459" s="43"/>
      <c r="P459" s="43"/>
      <c r="Q459" s="43"/>
      <c r="R459" s="43"/>
    </row>
    <row r="460" ht="15.75" customHeight="1">
      <c r="O460" s="43"/>
      <c r="P460" s="43"/>
      <c r="Q460" s="43"/>
      <c r="R460" s="43"/>
    </row>
    <row r="461" ht="15.75" customHeight="1">
      <c r="O461" s="43"/>
      <c r="P461" s="43"/>
      <c r="Q461" s="43"/>
      <c r="R461" s="43"/>
    </row>
    <row r="462" ht="15.75" customHeight="1">
      <c r="O462" s="43"/>
      <c r="P462" s="43"/>
      <c r="Q462" s="43"/>
      <c r="R462" s="43"/>
    </row>
    <row r="463" ht="15.75" customHeight="1">
      <c r="O463" s="43"/>
      <c r="P463" s="43"/>
      <c r="Q463" s="43"/>
      <c r="R463" s="43"/>
    </row>
    <row r="464" ht="15.75" customHeight="1">
      <c r="O464" s="43"/>
      <c r="P464" s="43"/>
      <c r="Q464" s="43"/>
      <c r="R464" s="43"/>
    </row>
    <row r="465" ht="15.75" customHeight="1">
      <c r="O465" s="43"/>
      <c r="P465" s="43"/>
      <c r="Q465" s="43"/>
      <c r="R465" s="43"/>
    </row>
    <row r="466" ht="15.75" customHeight="1">
      <c r="O466" s="43"/>
      <c r="P466" s="43"/>
      <c r="Q466" s="43"/>
      <c r="R466" s="43"/>
    </row>
    <row r="467" ht="15.75" customHeight="1">
      <c r="O467" s="43"/>
      <c r="P467" s="43"/>
      <c r="Q467" s="43"/>
      <c r="R467" s="43"/>
    </row>
    <row r="468" ht="15.75" customHeight="1">
      <c r="O468" s="43"/>
      <c r="P468" s="43"/>
      <c r="Q468" s="43"/>
      <c r="R468" s="43"/>
    </row>
    <row r="469" ht="15.75" customHeight="1">
      <c r="O469" s="43"/>
      <c r="P469" s="43"/>
      <c r="Q469" s="43"/>
      <c r="R469" s="43"/>
    </row>
    <row r="470" ht="15.75" customHeight="1">
      <c r="O470" s="43"/>
      <c r="P470" s="43"/>
      <c r="Q470" s="43"/>
      <c r="R470" s="43"/>
    </row>
    <row r="471" ht="15.75" customHeight="1">
      <c r="O471" s="43"/>
      <c r="P471" s="43"/>
      <c r="Q471" s="43"/>
      <c r="R471" s="43"/>
    </row>
    <row r="472" ht="15.75" customHeight="1">
      <c r="O472" s="43"/>
      <c r="P472" s="43"/>
      <c r="Q472" s="43"/>
      <c r="R472" s="43"/>
    </row>
    <row r="473" ht="15.75" customHeight="1">
      <c r="O473" s="43"/>
      <c r="P473" s="43"/>
      <c r="Q473" s="43"/>
      <c r="R473" s="43"/>
    </row>
    <row r="474" ht="15.75" customHeight="1">
      <c r="O474" s="43"/>
      <c r="P474" s="43"/>
      <c r="Q474" s="43"/>
      <c r="R474" s="43"/>
    </row>
    <row r="475" ht="15.75" customHeight="1">
      <c r="O475" s="43"/>
      <c r="P475" s="43"/>
      <c r="Q475" s="43"/>
      <c r="R475" s="43"/>
    </row>
    <row r="476" ht="15.75" customHeight="1">
      <c r="O476" s="43"/>
      <c r="P476" s="43"/>
      <c r="Q476" s="43"/>
      <c r="R476" s="43"/>
    </row>
    <row r="477" ht="15.75" customHeight="1">
      <c r="O477" s="43"/>
      <c r="P477" s="43"/>
      <c r="Q477" s="43"/>
      <c r="R477" s="43"/>
    </row>
    <row r="478" ht="15.75" customHeight="1">
      <c r="O478" s="43"/>
      <c r="P478" s="43"/>
      <c r="Q478" s="43"/>
      <c r="R478" s="43"/>
    </row>
    <row r="479" ht="15.75" customHeight="1">
      <c r="O479" s="43"/>
      <c r="P479" s="43"/>
      <c r="Q479" s="43"/>
      <c r="R479" s="43"/>
    </row>
    <row r="480" ht="15.75" customHeight="1">
      <c r="O480" s="43"/>
      <c r="P480" s="43"/>
      <c r="Q480" s="43"/>
      <c r="R480" s="43"/>
    </row>
    <row r="481" ht="15.75" customHeight="1">
      <c r="O481" s="43"/>
      <c r="P481" s="43"/>
      <c r="Q481" s="43"/>
      <c r="R481" s="43"/>
    </row>
    <row r="482" ht="15.75" customHeight="1">
      <c r="O482" s="43"/>
      <c r="P482" s="43"/>
      <c r="Q482" s="43"/>
      <c r="R482" s="43"/>
    </row>
    <row r="483" ht="15.75" customHeight="1">
      <c r="O483" s="43"/>
      <c r="P483" s="43"/>
      <c r="Q483" s="43"/>
      <c r="R483" s="43"/>
    </row>
    <row r="484" ht="15.75" customHeight="1">
      <c r="O484" s="43"/>
      <c r="P484" s="43"/>
      <c r="Q484" s="43"/>
      <c r="R484" s="43"/>
    </row>
    <row r="485" ht="15.75" customHeight="1">
      <c r="O485" s="43"/>
      <c r="P485" s="43"/>
      <c r="Q485" s="43"/>
      <c r="R485" s="43"/>
    </row>
    <row r="486" ht="15.75" customHeight="1">
      <c r="O486" s="43"/>
      <c r="P486" s="43"/>
      <c r="Q486" s="43"/>
      <c r="R486" s="43"/>
    </row>
    <row r="487" ht="15.75" customHeight="1">
      <c r="O487" s="43"/>
      <c r="P487" s="43"/>
      <c r="Q487" s="43"/>
      <c r="R487" s="43"/>
    </row>
    <row r="488" ht="15.75" customHeight="1">
      <c r="O488" s="43"/>
      <c r="P488" s="43"/>
      <c r="Q488" s="43"/>
      <c r="R488" s="43"/>
    </row>
    <row r="489" ht="15.75" customHeight="1">
      <c r="O489" s="43"/>
      <c r="P489" s="43"/>
      <c r="Q489" s="43"/>
      <c r="R489" s="43"/>
    </row>
    <row r="490" ht="15.75" customHeight="1">
      <c r="O490" s="43"/>
      <c r="P490" s="43"/>
      <c r="Q490" s="43"/>
      <c r="R490" s="43"/>
    </row>
    <row r="491" ht="15.75" customHeight="1">
      <c r="O491" s="43"/>
      <c r="P491" s="43"/>
      <c r="Q491" s="43"/>
      <c r="R491" s="43"/>
    </row>
    <row r="492" ht="15.75" customHeight="1">
      <c r="O492" s="43"/>
      <c r="P492" s="43"/>
      <c r="Q492" s="43"/>
      <c r="R492" s="43"/>
    </row>
    <row r="493" ht="15.75" customHeight="1">
      <c r="O493" s="43"/>
      <c r="P493" s="43"/>
      <c r="Q493" s="43"/>
      <c r="R493" s="43"/>
    </row>
    <row r="494" ht="15.75" customHeight="1">
      <c r="O494" s="43"/>
      <c r="P494" s="43"/>
      <c r="Q494" s="43"/>
      <c r="R494" s="43"/>
    </row>
    <row r="495" ht="15.75" customHeight="1">
      <c r="O495" s="43"/>
      <c r="P495" s="43"/>
      <c r="Q495" s="43"/>
      <c r="R495" s="43"/>
    </row>
    <row r="496" ht="15.75" customHeight="1">
      <c r="O496" s="43"/>
      <c r="P496" s="43"/>
      <c r="Q496" s="43"/>
      <c r="R496" s="43"/>
    </row>
    <row r="497" ht="15.75" customHeight="1">
      <c r="O497" s="43"/>
      <c r="P497" s="43"/>
      <c r="Q497" s="43"/>
      <c r="R497" s="43"/>
    </row>
    <row r="498" ht="15.75" customHeight="1">
      <c r="O498" s="43"/>
      <c r="P498" s="43"/>
      <c r="Q498" s="43"/>
      <c r="R498" s="43"/>
    </row>
    <row r="499" ht="15.75" customHeight="1">
      <c r="O499" s="43"/>
      <c r="P499" s="43"/>
      <c r="Q499" s="43"/>
      <c r="R499" s="43"/>
    </row>
    <row r="500" ht="15.75" customHeight="1">
      <c r="O500" s="43"/>
      <c r="P500" s="43"/>
      <c r="Q500" s="43"/>
      <c r="R500" s="43"/>
    </row>
    <row r="501" ht="15.75" customHeight="1">
      <c r="O501" s="43"/>
      <c r="P501" s="43"/>
      <c r="Q501" s="43"/>
      <c r="R501" s="43"/>
    </row>
    <row r="502" ht="15.75" customHeight="1">
      <c r="O502" s="43"/>
      <c r="P502" s="43"/>
      <c r="Q502" s="43"/>
      <c r="R502" s="43"/>
    </row>
    <row r="503" ht="15.75" customHeight="1">
      <c r="O503" s="43"/>
      <c r="P503" s="43"/>
      <c r="Q503" s="43"/>
      <c r="R503" s="43"/>
    </row>
    <row r="504" ht="15.75" customHeight="1">
      <c r="O504" s="43"/>
      <c r="P504" s="43"/>
      <c r="Q504" s="43"/>
      <c r="R504" s="43"/>
    </row>
    <row r="505" ht="15.75" customHeight="1">
      <c r="O505" s="43"/>
      <c r="P505" s="43"/>
      <c r="Q505" s="43"/>
      <c r="R505" s="43"/>
    </row>
    <row r="506" ht="15.75" customHeight="1">
      <c r="O506" s="43"/>
      <c r="P506" s="43"/>
      <c r="Q506" s="43"/>
      <c r="R506" s="43"/>
    </row>
    <row r="507" ht="15.75" customHeight="1">
      <c r="O507" s="43"/>
      <c r="P507" s="43"/>
      <c r="Q507" s="43"/>
      <c r="R507" s="43"/>
    </row>
    <row r="508" ht="15.75" customHeight="1">
      <c r="O508" s="43"/>
      <c r="P508" s="43"/>
      <c r="Q508" s="43"/>
      <c r="R508" s="43"/>
    </row>
    <row r="509" ht="15.75" customHeight="1">
      <c r="O509" s="43"/>
      <c r="P509" s="43"/>
      <c r="Q509" s="43"/>
      <c r="R509" s="43"/>
    </row>
    <row r="510" ht="15.75" customHeight="1">
      <c r="O510" s="43"/>
      <c r="P510" s="43"/>
      <c r="Q510" s="43"/>
      <c r="R510" s="43"/>
    </row>
    <row r="511" ht="15.75" customHeight="1">
      <c r="O511" s="43"/>
      <c r="P511" s="43"/>
      <c r="Q511" s="43"/>
      <c r="R511" s="43"/>
    </row>
    <row r="512" ht="15.75" customHeight="1">
      <c r="O512" s="43"/>
      <c r="P512" s="43"/>
      <c r="Q512" s="43"/>
      <c r="R512" s="43"/>
    </row>
    <row r="513" ht="15.75" customHeight="1">
      <c r="O513" s="43"/>
      <c r="P513" s="43"/>
      <c r="Q513" s="43"/>
      <c r="R513" s="43"/>
    </row>
    <row r="514" ht="15.75" customHeight="1">
      <c r="O514" s="43"/>
      <c r="P514" s="43"/>
      <c r="Q514" s="43"/>
      <c r="R514" s="43"/>
    </row>
    <row r="515" ht="15.75" customHeight="1">
      <c r="O515" s="43"/>
      <c r="P515" s="43"/>
      <c r="Q515" s="43"/>
      <c r="R515" s="43"/>
    </row>
    <row r="516" ht="15.75" customHeight="1">
      <c r="O516" s="43"/>
      <c r="P516" s="43"/>
      <c r="Q516" s="43"/>
      <c r="R516" s="43"/>
    </row>
    <row r="517" ht="15.75" customHeight="1">
      <c r="O517" s="43"/>
      <c r="P517" s="43"/>
      <c r="Q517" s="43"/>
      <c r="R517" s="43"/>
    </row>
    <row r="518" ht="15.75" customHeight="1">
      <c r="O518" s="43"/>
      <c r="P518" s="43"/>
      <c r="Q518" s="43"/>
      <c r="R518" s="43"/>
    </row>
    <row r="519" ht="15.75" customHeight="1">
      <c r="O519" s="43"/>
      <c r="P519" s="43"/>
      <c r="Q519" s="43"/>
      <c r="R519" s="43"/>
    </row>
    <row r="520" ht="15.75" customHeight="1">
      <c r="O520" s="43"/>
      <c r="P520" s="43"/>
      <c r="Q520" s="43"/>
      <c r="R520" s="43"/>
    </row>
    <row r="521" ht="15.75" customHeight="1">
      <c r="O521" s="43"/>
      <c r="P521" s="43"/>
      <c r="Q521" s="43"/>
      <c r="R521" s="43"/>
    </row>
    <row r="522" ht="15.75" customHeight="1">
      <c r="O522" s="43"/>
      <c r="P522" s="43"/>
      <c r="Q522" s="43"/>
      <c r="R522" s="43"/>
    </row>
    <row r="523" ht="15.75" customHeight="1">
      <c r="O523" s="43"/>
      <c r="P523" s="43"/>
      <c r="Q523" s="43"/>
      <c r="R523" s="43"/>
    </row>
    <row r="524" ht="15.75" customHeight="1">
      <c r="O524" s="43"/>
      <c r="P524" s="43"/>
      <c r="Q524" s="43"/>
      <c r="R524" s="43"/>
    </row>
    <row r="525" ht="15.75" customHeight="1">
      <c r="O525" s="43"/>
      <c r="P525" s="43"/>
      <c r="Q525" s="43"/>
      <c r="R525" s="43"/>
    </row>
    <row r="526" ht="15.75" customHeight="1">
      <c r="O526" s="43"/>
      <c r="P526" s="43"/>
      <c r="Q526" s="43"/>
      <c r="R526" s="43"/>
    </row>
    <row r="527" ht="15.75" customHeight="1">
      <c r="O527" s="43"/>
      <c r="P527" s="43"/>
      <c r="Q527" s="43"/>
      <c r="R527" s="43"/>
    </row>
    <row r="528" ht="15.75" customHeight="1">
      <c r="O528" s="43"/>
      <c r="P528" s="43"/>
      <c r="Q528" s="43"/>
      <c r="R528" s="43"/>
    </row>
    <row r="529" ht="15.75" customHeight="1">
      <c r="O529" s="43"/>
      <c r="P529" s="43"/>
      <c r="Q529" s="43"/>
      <c r="R529" s="43"/>
    </row>
    <row r="530" ht="15.75" customHeight="1">
      <c r="O530" s="43"/>
      <c r="P530" s="43"/>
      <c r="Q530" s="43"/>
      <c r="R530" s="43"/>
    </row>
    <row r="531" ht="15.75" customHeight="1">
      <c r="O531" s="43"/>
      <c r="P531" s="43"/>
      <c r="Q531" s="43"/>
      <c r="R531" s="43"/>
    </row>
    <row r="532" ht="15.75" customHeight="1">
      <c r="O532" s="43"/>
      <c r="P532" s="43"/>
      <c r="Q532" s="43"/>
      <c r="R532" s="43"/>
    </row>
    <row r="533" ht="15.75" customHeight="1">
      <c r="O533" s="43"/>
      <c r="P533" s="43"/>
      <c r="Q533" s="43"/>
      <c r="R533" s="43"/>
    </row>
    <row r="534" ht="15.75" customHeight="1">
      <c r="O534" s="43"/>
      <c r="P534" s="43"/>
      <c r="Q534" s="43"/>
      <c r="R534" s="43"/>
    </row>
    <row r="535" ht="15.75" customHeight="1">
      <c r="O535" s="43"/>
      <c r="P535" s="43"/>
      <c r="Q535" s="43"/>
      <c r="R535" s="43"/>
    </row>
    <row r="536" ht="15.75" customHeight="1">
      <c r="O536" s="43"/>
      <c r="P536" s="43"/>
      <c r="Q536" s="43"/>
      <c r="R536" s="43"/>
    </row>
    <row r="537" ht="15.75" customHeight="1">
      <c r="O537" s="43"/>
      <c r="P537" s="43"/>
      <c r="Q537" s="43"/>
      <c r="R537" s="43"/>
    </row>
    <row r="538" ht="15.75" customHeight="1">
      <c r="O538" s="43"/>
      <c r="P538" s="43"/>
      <c r="Q538" s="43"/>
      <c r="R538" s="43"/>
    </row>
    <row r="539" ht="15.75" customHeight="1">
      <c r="O539" s="43"/>
      <c r="P539" s="43"/>
      <c r="Q539" s="43"/>
      <c r="R539" s="43"/>
    </row>
    <row r="540" ht="15.75" customHeight="1">
      <c r="O540" s="43"/>
      <c r="P540" s="43"/>
      <c r="Q540" s="43"/>
      <c r="R540" s="43"/>
    </row>
    <row r="541" ht="15.75" customHeight="1">
      <c r="O541" s="43"/>
      <c r="P541" s="43"/>
      <c r="Q541" s="43"/>
      <c r="R541" s="43"/>
    </row>
    <row r="542" ht="15.75" customHeight="1">
      <c r="O542" s="43"/>
      <c r="P542" s="43"/>
      <c r="Q542" s="43"/>
      <c r="R542" s="43"/>
    </row>
    <row r="543" ht="15.75" customHeight="1">
      <c r="O543" s="43"/>
      <c r="P543" s="43"/>
      <c r="Q543" s="43"/>
      <c r="R543" s="43"/>
    </row>
    <row r="544" ht="15.75" customHeight="1">
      <c r="O544" s="43"/>
      <c r="P544" s="43"/>
      <c r="Q544" s="43"/>
      <c r="R544" s="43"/>
    </row>
    <row r="545" ht="15.75" customHeight="1">
      <c r="O545" s="43"/>
      <c r="P545" s="43"/>
      <c r="Q545" s="43"/>
      <c r="R545" s="43"/>
    </row>
    <row r="546" ht="15.75" customHeight="1">
      <c r="O546" s="43"/>
      <c r="P546" s="43"/>
      <c r="Q546" s="43"/>
      <c r="R546" s="43"/>
    </row>
    <row r="547" ht="15.75" customHeight="1">
      <c r="O547" s="43"/>
      <c r="P547" s="43"/>
      <c r="Q547" s="43"/>
      <c r="R547" s="43"/>
    </row>
    <row r="548" ht="15.75" customHeight="1">
      <c r="O548" s="43"/>
      <c r="P548" s="43"/>
      <c r="Q548" s="43"/>
      <c r="R548" s="43"/>
    </row>
    <row r="549" ht="15.75" customHeight="1">
      <c r="O549" s="43"/>
      <c r="P549" s="43"/>
      <c r="Q549" s="43"/>
      <c r="R549" s="43"/>
    </row>
    <row r="550" ht="15.75" customHeight="1">
      <c r="O550" s="43"/>
      <c r="P550" s="43"/>
      <c r="Q550" s="43"/>
      <c r="R550" s="43"/>
    </row>
    <row r="551" ht="15.75" customHeight="1">
      <c r="O551" s="43"/>
      <c r="P551" s="43"/>
      <c r="Q551" s="43"/>
      <c r="R551" s="43"/>
    </row>
    <row r="552" ht="15.75" customHeight="1">
      <c r="O552" s="43"/>
      <c r="P552" s="43"/>
      <c r="Q552" s="43"/>
      <c r="R552" s="43"/>
    </row>
    <row r="553" ht="15.75" customHeight="1">
      <c r="O553" s="43"/>
      <c r="P553" s="43"/>
      <c r="Q553" s="43"/>
      <c r="R553" s="43"/>
    </row>
    <row r="554" ht="15.75" customHeight="1">
      <c r="O554" s="43"/>
      <c r="P554" s="43"/>
      <c r="Q554" s="43"/>
      <c r="R554" s="43"/>
    </row>
    <row r="555" ht="15.75" customHeight="1">
      <c r="O555" s="43"/>
      <c r="P555" s="43"/>
      <c r="Q555" s="43"/>
      <c r="R555" s="43"/>
    </row>
    <row r="556" ht="15.75" customHeight="1">
      <c r="O556" s="43"/>
      <c r="P556" s="43"/>
      <c r="Q556" s="43"/>
      <c r="R556" s="43"/>
    </row>
    <row r="557" ht="15.75" customHeight="1">
      <c r="O557" s="43"/>
      <c r="P557" s="43"/>
      <c r="Q557" s="43"/>
      <c r="R557" s="43"/>
    </row>
    <row r="558" ht="15.75" customHeight="1">
      <c r="O558" s="43"/>
      <c r="P558" s="43"/>
      <c r="Q558" s="43"/>
      <c r="R558" s="43"/>
    </row>
    <row r="559" ht="15.75" customHeight="1">
      <c r="O559" s="43"/>
      <c r="P559" s="43"/>
      <c r="Q559" s="43"/>
      <c r="R559" s="43"/>
    </row>
    <row r="560" ht="15.75" customHeight="1">
      <c r="O560" s="43"/>
      <c r="P560" s="43"/>
      <c r="Q560" s="43"/>
      <c r="R560" s="43"/>
    </row>
    <row r="561" ht="15.75" customHeight="1">
      <c r="O561" s="43"/>
      <c r="P561" s="43"/>
      <c r="Q561" s="43"/>
      <c r="R561" s="43"/>
    </row>
    <row r="562" ht="15.75" customHeight="1">
      <c r="O562" s="43"/>
      <c r="P562" s="43"/>
      <c r="Q562" s="43"/>
      <c r="R562" s="43"/>
    </row>
    <row r="563" ht="15.75" customHeight="1">
      <c r="O563" s="43"/>
      <c r="P563" s="43"/>
      <c r="Q563" s="43"/>
      <c r="R563" s="43"/>
    </row>
    <row r="564" ht="15.75" customHeight="1">
      <c r="O564" s="43"/>
      <c r="P564" s="43"/>
      <c r="Q564" s="43"/>
      <c r="R564" s="43"/>
    </row>
    <row r="565" ht="15.75" customHeight="1">
      <c r="O565" s="43"/>
      <c r="P565" s="43"/>
      <c r="Q565" s="43"/>
      <c r="R565" s="43"/>
    </row>
    <row r="566" ht="15.75" customHeight="1">
      <c r="O566" s="43"/>
      <c r="P566" s="43"/>
      <c r="Q566" s="43"/>
      <c r="R566" s="43"/>
    </row>
    <row r="567" ht="15.75" customHeight="1">
      <c r="O567" s="43"/>
      <c r="P567" s="43"/>
      <c r="Q567" s="43"/>
      <c r="R567" s="43"/>
    </row>
    <row r="568" ht="15.75" customHeight="1">
      <c r="O568" s="43"/>
      <c r="P568" s="43"/>
      <c r="Q568" s="43"/>
      <c r="R568" s="43"/>
    </row>
    <row r="569" ht="15.75" customHeight="1">
      <c r="O569" s="43"/>
      <c r="P569" s="43"/>
      <c r="Q569" s="43"/>
      <c r="R569" s="43"/>
    </row>
    <row r="570" ht="15.75" customHeight="1">
      <c r="O570" s="43"/>
      <c r="P570" s="43"/>
      <c r="Q570" s="43"/>
      <c r="R570" s="43"/>
    </row>
    <row r="571" ht="15.75" customHeight="1">
      <c r="O571" s="43"/>
      <c r="P571" s="43"/>
      <c r="Q571" s="43"/>
      <c r="R571" s="43"/>
    </row>
    <row r="572" ht="15.75" customHeight="1">
      <c r="O572" s="43"/>
      <c r="P572" s="43"/>
      <c r="Q572" s="43"/>
      <c r="R572" s="43"/>
    </row>
    <row r="573" ht="15.75" customHeight="1">
      <c r="O573" s="43"/>
      <c r="P573" s="43"/>
      <c r="Q573" s="43"/>
      <c r="R573" s="43"/>
    </row>
    <row r="574" ht="15.75" customHeight="1">
      <c r="O574" s="43"/>
      <c r="P574" s="43"/>
      <c r="Q574" s="43"/>
      <c r="R574" s="43"/>
    </row>
    <row r="575" ht="15.75" customHeight="1">
      <c r="O575" s="43"/>
      <c r="P575" s="43"/>
      <c r="Q575" s="43"/>
      <c r="R575" s="43"/>
    </row>
    <row r="576" ht="15.75" customHeight="1">
      <c r="O576" s="43"/>
      <c r="P576" s="43"/>
      <c r="Q576" s="43"/>
      <c r="R576" s="43"/>
    </row>
    <row r="577" ht="15.75" customHeight="1">
      <c r="O577" s="43"/>
      <c r="P577" s="43"/>
      <c r="Q577" s="43"/>
      <c r="R577" s="43"/>
    </row>
    <row r="578" ht="15.75" customHeight="1">
      <c r="O578" s="43"/>
      <c r="P578" s="43"/>
      <c r="Q578" s="43"/>
      <c r="R578" s="43"/>
    </row>
    <row r="579" ht="15.75" customHeight="1">
      <c r="O579" s="43"/>
      <c r="P579" s="43"/>
      <c r="Q579" s="43"/>
      <c r="R579" s="43"/>
    </row>
    <row r="580" ht="15.75" customHeight="1">
      <c r="O580" s="43"/>
      <c r="P580" s="43"/>
      <c r="Q580" s="43"/>
      <c r="R580" s="43"/>
    </row>
    <row r="581" ht="15.75" customHeight="1">
      <c r="O581" s="43"/>
      <c r="P581" s="43"/>
      <c r="Q581" s="43"/>
      <c r="R581" s="43"/>
    </row>
    <row r="582" ht="15.75" customHeight="1">
      <c r="O582" s="43"/>
      <c r="P582" s="43"/>
      <c r="Q582" s="43"/>
      <c r="R582" s="43"/>
    </row>
    <row r="583" ht="15.75" customHeight="1">
      <c r="O583" s="43"/>
      <c r="P583" s="43"/>
      <c r="Q583" s="43"/>
      <c r="R583" s="43"/>
    </row>
    <row r="584" ht="15.75" customHeight="1">
      <c r="O584" s="43"/>
      <c r="P584" s="43"/>
      <c r="Q584" s="43"/>
      <c r="R584" s="43"/>
    </row>
    <row r="585" ht="15.75" customHeight="1">
      <c r="O585" s="43"/>
      <c r="P585" s="43"/>
      <c r="Q585" s="43"/>
      <c r="R585" s="43"/>
    </row>
    <row r="586" ht="15.75" customHeight="1">
      <c r="O586" s="43"/>
      <c r="P586" s="43"/>
      <c r="Q586" s="43"/>
      <c r="R586" s="43"/>
    </row>
    <row r="587" ht="15.75" customHeight="1">
      <c r="O587" s="43"/>
      <c r="P587" s="43"/>
      <c r="Q587" s="43"/>
      <c r="R587" s="43"/>
    </row>
    <row r="588" ht="15.75" customHeight="1">
      <c r="O588" s="43"/>
      <c r="P588" s="43"/>
      <c r="Q588" s="43"/>
      <c r="R588" s="43"/>
    </row>
    <row r="589" ht="15.75" customHeight="1">
      <c r="O589" s="43"/>
      <c r="P589" s="43"/>
      <c r="Q589" s="43"/>
      <c r="R589" s="43"/>
    </row>
    <row r="590" ht="15.75" customHeight="1">
      <c r="O590" s="43"/>
      <c r="P590" s="43"/>
      <c r="Q590" s="43"/>
      <c r="R590" s="43"/>
    </row>
    <row r="591" ht="15.75" customHeight="1">
      <c r="O591" s="43"/>
      <c r="P591" s="43"/>
      <c r="Q591" s="43"/>
      <c r="R591" s="43"/>
    </row>
    <row r="592" ht="15.75" customHeight="1">
      <c r="O592" s="43"/>
      <c r="P592" s="43"/>
      <c r="Q592" s="43"/>
      <c r="R592" s="43"/>
    </row>
    <row r="593" ht="15.75" customHeight="1">
      <c r="O593" s="43"/>
      <c r="P593" s="43"/>
      <c r="Q593" s="43"/>
      <c r="R593" s="43"/>
    </row>
    <row r="594" ht="15.75" customHeight="1">
      <c r="O594" s="43"/>
      <c r="P594" s="43"/>
      <c r="Q594" s="43"/>
      <c r="R594" s="43"/>
    </row>
    <row r="595" ht="15.75" customHeight="1">
      <c r="O595" s="43"/>
      <c r="P595" s="43"/>
      <c r="Q595" s="43"/>
      <c r="R595" s="43"/>
    </row>
    <row r="596" ht="15.75" customHeight="1">
      <c r="O596" s="43"/>
      <c r="P596" s="43"/>
      <c r="Q596" s="43"/>
      <c r="R596" s="43"/>
    </row>
    <row r="597" ht="15.75" customHeight="1">
      <c r="O597" s="43"/>
      <c r="P597" s="43"/>
      <c r="Q597" s="43"/>
      <c r="R597" s="43"/>
    </row>
    <row r="598" ht="15.75" customHeight="1">
      <c r="O598" s="43"/>
      <c r="P598" s="43"/>
      <c r="Q598" s="43"/>
      <c r="R598" s="43"/>
    </row>
    <row r="599" ht="15.75" customHeight="1">
      <c r="O599" s="43"/>
      <c r="P599" s="43"/>
      <c r="Q599" s="43"/>
      <c r="R599" s="43"/>
    </row>
    <row r="600" ht="15.75" customHeight="1">
      <c r="O600" s="43"/>
      <c r="P600" s="43"/>
      <c r="Q600" s="43"/>
      <c r="R600" s="43"/>
    </row>
    <row r="601" ht="15.75" customHeight="1">
      <c r="O601" s="43"/>
      <c r="P601" s="43"/>
      <c r="Q601" s="43"/>
      <c r="R601" s="43"/>
    </row>
    <row r="602" ht="15.75" customHeight="1">
      <c r="O602" s="43"/>
      <c r="P602" s="43"/>
      <c r="Q602" s="43"/>
      <c r="R602" s="43"/>
    </row>
    <row r="603" ht="15.75" customHeight="1">
      <c r="O603" s="43"/>
      <c r="P603" s="43"/>
      <c r="Q603" s="43"/>
      <c r="R603" s="43"/>
    </row>
    <row r="604" ht="15.75" customHeight="1">
      <c r="O604" s="43"/>
      <c r="P604" s="43"/>
      <c r="Q604" s="43"/>
      <c r="R604" s="43"/>
    </row>
    <row r="605" ht="15.75" customHeight="1">
      <c r="O605" s="43"/>
      <c r="P605" s="43"/>
      <c r="Q605" s="43"/>
      <c r="R605" s="43"/>
    </row>
    <row r="606" ht="15.75" customHeight="1">
      <c r="O606" s="43"/>
      <c r="P606" s="43"/>
      <c r="Q606" s="43"/>
      <c r="R606" s="43"/>
    </row>
    <row r="607" ht="15.75" customHeight="1">
      <c r="O607" s="43"/>
      <c r="P607" s="43"/>
      <c r="Q607" s="43"/>
      <c r="R607" s="43"/>
    </row>
    <row r="608" ht="15.75" customHeight="1">
      <c r="O608" s="43"/>
      <c r="P608" s="43"/>
      <c r="Q608" s="43"/>
      <c r="R608" s="43"/>
    </row>
    <row r="609" ht="15.75" customHeight="1">
      <c r="O609" s="43"/>
      <c r="P609" s="43"/>
      <c r="Q609" s="43"/>
      <c r="R609" s="43"/>
    </row>
    <row r="610" ht="15.75" customHeight="1">
      <c r="O610" s="43"/>
      <c r="P610" s="43"/>
      <c r="Q610" s="43"/>
      <c r="R610" s="43"/>
    </row>
    <row r="611" ht="15.75" customHeight="1">
      <c r="O611" s="43"/>
      <c r="P611" s="43"/>
      <c r="Q611" s="43"/>
      <c r="R611" s="43"/>
    </row>
    <row r="612" ht="15.75" customHeight="1">
      <c r="O612" s="43"/>
      <c r="P612" s="43"/>
      <c r="Q612" s="43"/>
      <c r="R612" s="43"/>
    </row>
    <row r="613" ht="15.75" customHeight="1">
      <c r="O613" s="43"/>
      <c r="P613" s="43"/>
      <c r="Q613" s="43"/>
      <c r="R613" s="43"/>
    </row>
    <row r="614" ht="15.75" customHeight="1">
      <c r="O614" s="43"/>
      <c r="P614" s="43"/>
      <c r="Q614" s="43"/>
      <c r="R614" s="43"/>
    </row>
    <row r="615" ht="15.75" customHeight="1">
      <c r="O615" s="43"/>
      <c r="P615" s="43"/>
      <c r="Q615" s="43"/>
      <c r="R615" s="43"/>
    </row>
    <row r="616" ht="15.75" customHeight="1">
      <c r="O616" s="43"/>
      <c r="P616" s="43"/>
      <c r="Q616" s="43"/>
      <c r="R616" s="43"/>
    </row>
    <row r="617" ht="15.75" customHeight="1">
      <c r="O617" s="43"/>
      <c r="P617" s="43"/>
      <c r="Q617" s="43"/>
      <c r="R617" s="43"/>
    </row>
    <row r="618" ht="15.75" customHeight="1">
      <c r="O618" s="43"/>
      <c r="P618" s="43"/>
      <c r="Q618" s="43"/>
      <c r="R618" s="43"/>
    </row>
    <row r="619" ht="15.75" customHeight="1">
      <c r="O619" s="43"/>
      <c r="P619" s="43"/>
      <c r="Q619" s="43"/>
      <c r="R619" s="43"/>
    </row>
    <row r="620" ht="15.75" customHeight="1">
      <c r="O620" s="43"/>
      <c r="P620" s="43"/>
      <c r="Q620" s="43"/>
      <c r="R620" s="43"/>
    </row>
    <row r="621" ht="15.75" customHeight="1">
      <c r="O621" s="43"/>
      <c r="P621" s="43"/>
      <c r="Q621" s="43"/>
      <c r="R621" s="43"/>
    </row>
    <row r="622" ht="15.75" customHeight="1">
      <c r="O622" s="43"/>
      <c r="P622" s="43"/>
      <c r="Q622" s="43"/>
      <c r="R622" s="43"/>
    </row>
    <row r="623" ht="15.75" customHeight="1">
      <c r="O623" s="43"/>
      <c r="P623" s="43"/>
      <c r="Q623" s="43"/>
      <c r="R623" s="43"/>
    </row>
    <row r="624" ht="15.75" customHeight="1">
      <c r="O624" s="43"/>
      <c r="P624" s="43"/>
      <c r="Q624" s="43"/>
      <c r="R624" s="43"/>
    </row>
    <row r="625" ht="15.75" customHeight="1">
      <c r="O625" s="43"/>
      <c r="P625" s="43"/>
      <c r="Q625" s="43"/>
      <c r="R625" s="43"/>
    </row>
    <row r="626" ht="15.75" customHeight="1">
      <c r="O626" s="43"/>
      <c r="P626" s="43"/>
      <c r="Q626" s="43"/>
      <c r="R626" s="43"/>
    </row>
    <row r="627" ht="15.75" customHeight="1">
      <c r="O627" s="43"/>
      <c r="P627" s="43"/>
      <c r="Q627" s="43"/>
      <c r="R627" s="43"/>
    </row>
    <row r="628" ht="15.75" customHeight="1">
      <c r="O628" s="43"/>
      <c r="P628" s="43"/>
      <c r="Q628" s="43"/>
      <c r="R628" s="43"/>
    </row>
    <row r="629" ht="15.75" customHeight="1">
      <c r="O629" s="43"/>
      <c r="P629" s="43"/>
      <c r="Q629" s="43"/>
      <c r="R629" s="43"/>
    </row>
    <row r="630" ht="15.75" customHeight="1">
      <c r="O630" s="43"/>
      <c r="P630" s="43"/>
      <c r="Q630" s="43"/>
      <c r="R630" s="43"/>
    </row>
    <row r="631" ht="15.75" customHeight="1">
      <c r="O631" s="43"/>
      <c r="P631" s="43"/>
      <c r="Q631" s="43"/>
      <c r="R631" s="43"/>
    </row>
    <row r="632" ht="15.75" customHeight="1">
      <c r="O632" s="43"/>
      <c r="P632" s="43"/>
      <c r="Q632" s="43"/>
      <c r="R632" s="43"/>
    </row>
    <row r="633" ht="15.75" customHeight="1">
      <c r="O633" s="43"/>
      <c r="P633" s="43"/>
      <c r="Q633" s="43"/>
      <c r="R633" s="43"/>
    </row>
    <row r="634" ht="15.75" customHeight="1">
      <c r="O634" s="43"/>
      <c r="P634" s="43"/>
      <c r="Q634" s="43"/>
      <c r="R634" s="43"/>
    </row>
    <row r="635" ht="15.75" customHeight="1">
      <c r="O635" s="43"/>
      <c r="P635" s="43"/>
      <c r="Q635" s="43"/>
      <c r="R635" s="43"/>
    </row>
    <row r="636" ht="15.75" customHeight="1">
      <c r="O636" s="43"/>
      <c r="P636" s="43"/>
      <c r="Q636" s="43"/>
      <c r="R636" s="43"/>
    </row>
    <row r="637" ht="15.75" customHeight="1">
      <c r="O637" s="43"/>
      <c r="P637" s="43"/>
      <c r="Q637" s="43"/>
      <c r="R637" s="43"/>
    </row>
    <row r="638" ht="15.75" customHeight="1">
      <c r="O638" s="43"/>
      <c r="P638" s="43"/>
      <c r="Q638" s="43"/>
      <c r="R638" s="43"/>
    </row>
    <row r="639" ht="15.75" customHeight="1">
      <c r="O639" s="43"/>
      <c r="P639" s="43"/>
      <c r="Q639" s="43"/>
      <c r="R639" s="43"/>
    </row>
    <row r="640" ht="15.75" customHeight="1">
      <c r="O640" s="43"/>
      <c r="P640" s="43"/>
      <c r="Q640" s="43"/>
      <c r="R640" s="43"/>
    </row>
    <row r="641" ht="15.75" customHeight="1">
      <c r="O641" s="43"/>
      <c r="P641" s="43"/>
      <c r="Q641" s="43"/>
      <c r="R641" s="43"/>
    </row>
    <row r="642" ht="15.75" customHeight="1">
      <c r="O642" s="43"/>
      <c r="P642" s="43"/>
      <c r="Q642" s="43"/>
      <c r="R642" s="43"/>
    </row>
    <row r="643" ht="15.75" customHeight="1">
      <c r="O643" s="43"/>
      <c r="P643" s="43"/>
      <c r="Q643" s="43"/>
      <c r="R643" s="43"/>
    </row>
    <row r="644" ht="15.75" customHeight="1">
      <c r="O644" s="43"/>
      <c r="P644" s="43"/>
      <c r="Q644" s="43"/>
      <c r="R644" s="43"/>
    </row>
    <row r="645" ht="15.75" customHeight="1">
      <c r="O645" s="43"/>
      <c r="P645" s="43"/>
      <c r="Q645" s="43"/>
      <c r="R645" s="43"/>
    </row>
    <row r="646" ht="15.75" customHeight="1">
      <c r="O646" s="43"/>
      <c r="P646" s="43"/>
      <c r="Q646" s="43"/>
      <c r="R646" s="43"/>
    </row>
    <row r="647" ht="15.75" customHeight="1">
      <c r="O647" s="43"/>
      <c r="P647" s="43"/>
      <c r="Q647" s="43"/>
      <c r="R647" s="43"/>
    </row>
    <row r="648" ht="15.75" customHeight="1">
      <c r="O648" s="43"/>
      <c r="P648" s="43"/>
      <c r="Q648" s="43"/>
      <c r="R648" s="43"/>
    </row>
    <row r="649" ht="15.75" customHeight="1">
      <c r="O649" s="43"/>
      <c r="P649" s="43"/>
      <c r="Q649" s="43"/>
      <c r="R649" s="43"/>
    </row>
    <row r="650" ht="15.75" customHeight="1">
      <c r="O650" s="43"/>
      <c r="P650" s="43"/>
      <c r="Q650" s="43"/>
      <c r="R650" s="43"/>
    </row>
    <row r="651" ht="15.75" customHeight="1">
      <c r="O651" s="43"/>
      <c r="P651" s="43"/>
      <c r="Q651" s="43"/>
      <c r="R651" s="43"/>
    </row>
    <row r="652" ht="15.75" customHeight="1">
      <c r="O652" s="43"/>
      <c r="P652" s="43"/>
      <c r="Q652" s="43"/>
      <c r="R652" s="43"/>
    </row>
    <row r="653" ht="15.75" customHeight="1">
      <c r="O653" s="43"/>
      <c r="P653" s="43"/>
      <c r="Q653" s="43"/>
      <c r="R653" s="43"/>
    </row>
    <row r="654" ht="15.75" customHeight="1">
      <c r="O654" s="43"/>
      <c r="P654" s="43"/>
      <c r="Q654" s="43"/>
      <c r="R654" s="43"/>
    </row>
    <row r="655" ht="15.75" customHeight="1">
      <c r="O655" s="43"/>
      <c r="P655" s="43"/>
      <c r="Q655" s="43"/>
      <c r="R655" s="43"/>
    </row>
    <row r="656" ht="15.75" customHeight="1">
      <c r="O656" s="43"/>
      <c r="P656" s="43"/>
      <c r="Q656" s="43"/>
      <c r="R656" s="43"/>
    </row>
    <row r="657" ht="15.75" customHeight="1">
      <c r="O657" s="43"/>
      <c r="P657" s="43"/>
      <c r="Q657" s="43"/>
      <c r="R657" s="43"/>
    </row>
    <row r="658" ht="15.75" customHeight="1">
      <c r="O658" s="43"/>
      <c r="P658" s="43"/>
      <c r="Q658" s="43"/>
      <c r="R658" s="43"/>
    </row>
    <row r="659" ht="15.75" customHeight="1">
      <c r="O659" s="43"/>
      <c r="P659" s="43"/>
      <c r="Q659" s="43"/>
      <c r="R659" s="43"/>
    </row>
    <row r="660" ht="15.75" customHeight="1">
      <c r="O660" s="43"/>
      <c r="P660" s="43"/>
      <c r="Q660" s="43"/>
      <c r="R660" s="43"/>
    </row>
    <row r="661" ht="15.75" customHeight="1">
      <c r="O661" s="43"/>
      <c r="P661" s="43"/>
      <c r="Q661" s="43"/>
      <c r="R661" s="43"/>
    </row>
    <row r="662" ht="15.75" customHeight="1">
      <c r="O662" s="43"/>
      <c r="P662" s="43"/>
      <c r="Q662" s="43"/>
      <c r="R662" s="43"/>
    </row>
    <row r="663" ht="15.75" customHeight="1">
      <c r="O663" s="43"/>
      <c r="P663" s="43"/>
      <c r="Q663" s="43"/>
      <c r="R663" s="43"/>
    </row>
    <row r="664" ht="15.75" customHeight="1">
      <c r="O664" s="43"/>
      <c r="P664" s="43"/>
      <c r="Q664" s="43"/>
      <c r="R664" s="43"/>
    </row>
    <row r="665" ht="15.75" customHeight="1">
      <c r="O665" s="43"/>
      <c r="P665" s="43"/>
      <c r="Q665" s="43"/>
      <c r="R665" s="43"/>
    </row>
    <row r="666" ht="15.75" customHeight="1">
      <c r="O666" s="43"/>
      <c r="P666" s="43"/>
      <c r="Q666" s="43"/>
      <c r="R666" s="43"/>
    </row>
    <row r="667" ht="15.75" customHeight="1">
      <c r="O667" s="43"/>
      <c r="P667" s="43"/>
      <c r="Q667" s="43"/>
      <c r="R667" s="43"/>
    </row>
    <row r="668" ht="15.75" customHeight="1">
      <c r="O668" s="43"/>
      <c r="P668" s="43"/>
      <c r="Q668" s="43"/>
      <c r="R668" s="43"/>
    </row>
    <row r="669" ht="15.75" customHeight="1">
      <c r="O669" s="43"/>
      <c r="P669" s="43"/>
      <c r="Q669" s="43"/>
      <c r="R669" s="43"/>
    </row>
    <row r="670" ht="15.75" customHeight="1">
      <c r="O670" s="43"/>
      <c r="P670" s="43"/>
      <c r="Q670" s="43"/>
      <c r="R670" s="43"/>
    </row>
    <row r="671" ht="15.75" customHeight="1">
      <c r="O671" s="43"/>
      <c r="P671" s="43"/>
      <c r="Q671" s="43"/>
      <c r="R671" s="43"/>
    </row>
    <row r="672" ht="15.75" customHeight="1">
      <c r="O672" s="43"/>
      <c r="P672" s="43"/>
      <c r="Q672" s="43"/>
      <c r="R672" s="43"/>
    </row>
    <row r="673" ht="15.75" customHeight="1">
      <c r="O673" s="43"/>
      <c r="P673" s="43"/>
      <c r="Q673" s="43"/>
      <c r="R673" s="43"/>
    </row>
    <row r="674" ht="15.75" customHeight="1">
      <c r="O674" s="43"/>
      <c r="P674" s="43"/>
      <c r="Q674" s="43"/>
      <c r="R674" s="43"/>
    </row>
    <row r="675" ht="15.75" customHeight="1">
      <c r="O675" s="43"/>
      <c r="P675" s="43"/>
      <c r="Q675" s="43"/>
      <c r="R675" s="43"/>
    </row>
    <row r="676" ht="15.75" customHeight="1">
      <c r="O676" s="43"/>
      <c r="P676" s="43"/>
      <c r="Q676" s="43"/>
      <c r="R676" s="43"/>
    </row>
    <row r="677" ht="15.75" customHeight="1">
      <c r="O677" s="43"/>
      <c r="P677" s="43"/>
      <c r="Q677" s="43"/>
      <c r="R677" s="43"/>
    </row>
    <row r="678" ht="15.75" customHeight="1">
      <c r="O678" s="43"/>
      <c r="P678" s="43"/>
      <c r="Q678" s="43"/>
      <c r="R678" s="43"/>
    </row>
    <row r="679" ht="15.75" customHeight="1">
      <c r="O679" s="43"/>
      <c r="P679" s="43"/>
      <c r="Q679" s="43"/>
      <c r="R679" s="43"/>
    </row>
    <row r="680" ht="15.75" customHeight="1">
      <c r="O680" s="43"/>
      <c r="P680" s="43"/>
      <c r="Q680" s="43"/>
      <c r="R680" s="43"/>
    </row>
    <row r="681" ht="15.75" customHeight="1">
      <c r="O681" s="43"/>
      <c r="P681" s="43"/>
      <c r="Q681" s="43"/>
      <c r="R681" s="43"/>
    </row>
    <row r="682" ht="15.75" customHeight="1">
      <c r="O682" s="43"/>
      <c r="P682" s="43"/>
      <c r="Q682" s="43"/>
      <c r="R682" s="43"/>
    </row>
    <row r="683" ht="15.75" customHeight="1">
      <c r="O683" s="43"/>
      <c r="P683" s="43"/>
      <c r="Q683" s="43"/>
      <c r="R683" s="43"/>
    </row>
    <row r="684" ht="15.75" customHeight="1">
      <c r="O684" s="43"/>
      <c r="P684" s="43"/>
      <c r="Q684" s="43"/>
      <c r="R684" s="43"/>
    </row>
    <row r="685" ht="15.75" customHeight="1">
      <c r="O685" s="43"/>
      <c r="P685" s="43"/>
      <c r="Q685" s="43"/>
      <c r="R685" s="43"/>
    </row>
    <row r="686" ht="15.75" customHeight="1">
      <c r="O686" s="43"/>
      <c r="P686" s="43"/>
      <c r="Q686" s="43"/>
      <c r="R686" s="43"/>
    </row>
    <row r="687" ht="15.75" customHeight="1">
      <c r="O687" s="43"/>
      <c r="P687" s="43"/>
      <c r="Q687" s="43"/>
      <c r="R687" s="43"/>
    </row>
    <row r="688" ht="15.75" customHeight="1">
      <c r="O688" s="43"/>
      <c r="P688" s="43"/>
      <c r="Q688" s="43"/>
      <c r="R688" s="43"/>
    </row>
    <row r="689" ht="15.75" customHeight="1">
      <c r="O689" s="43"/>
      <c r="P689" s="43"/>
      <c r="Q689" s="43"/>
      <c r="R689" s="43"/>
    </row>
    <row r="690" ht="15.75" customHeight="1">
      <c r="O690" s="43"/>
      <c r="P690" s="43"/>
      <c r="Q690" s="43"/>
      <c r="R690" s="43"/>
    </row>
    <row r="691" ht="15.75" customHeight="1">
      <c r="O691" s="43"/>
      <c r="P691" s="43"/>
      <c r="Q691" s="43"/>
      <c r="R691" s="43"/>
    </row>
    <row r="692" ht="15.75" customHeight="1">
      <c r="O692" s="43"/>
      <c r="P692" s="43"/>
      <c r="Q692" s="43"/>
      <c r="R692" s="43"/>
    </row>
    <row r="693" ht="15.75" customHeight="1">
      <c r="O693" s="43"/>
      <c r="P693" s="43"/>
      <c r="Q693" s="43"/>
      <c r="R693" s="43"/>
    </row>
    <row r="694" ht="15.75" customHeight="1">
      <c r="O694" s="43"/>
      <c r="P694" s="43"/>
      <c r="Q694" s="43"/>
      <c r="R694" s="43"/>
    </row>
    <row r="695" ht="15.75" customHeight="1">
      <c r="O695" s="43"/>
      <c r="P695" s="43"/>
      <c r="Q695" s="43"/>
      <c r="R695" s="43"/>
    </row>
    <row r="696" ht="15.75" customHeight="1">
      <c r="O696" s="43"/>
      <c r="P696" s="43"/>
      <c r="Q696" s="43"/>
      <c r="R696" s="43"/>
    </row>
    <row r="697" ht="15.75" customHeight="1">
      <c r="O697" s="43"/>
      <c r="P697" s="43"/>
      <c r="Q697" s="43"/>
      <c r="R697" s="43"/>
    </row>
    <row r="698" ht="15.75" customHeight="1">
      <c r="O698" s="43"/>
      <c r="P698" s="43"/>
      <c r="Q698" s="43"/>
      <c r="R698" s="43"/>
    </row>
    <row r="699" ht="15.75" customHeight="1">
      <c r="O699" s="43"/>
      <c r="P699" s="43"/>
      <c r="Q699" s="43"/>
      <c r="R699" s="43"/>
    </row>
    <row r="700" ht="15.75" customHeight="1">
      <c r="O700" s="43"/>
      <c r="P700" s="43"/>
      <c r="Q700" s="43"/>
      <c r="R700" s="43"/>
    </row>
    <row r="701" ht="15.75" customHeight="1">
      <c r="O701" s="43"/>
      <c r="P701" s="43"/>
      <c r="Q701" s="43"/>
      <c r="R701" s="43"/>
    </row>
    <row r="702" ht="15.75" customHeight="1">
      <c r="O702" s="43"/>
      <c r="P702" s="43"/>
      <c r="Q702" s="43"/>
      <c r="R702" s="43"/>
    </row>
    <row r="703" ht="15.75" customHeight="1">
      <c r="O703" s="43"/>
      <c r="P703" s="43"/>
      <c r="Q703" s="43"/>
      <c r="R703" s="43"/>
    </row>
    <row r="704" ht="15.75" customHeight="1">
      <c r="O704" s="43"/>
      <c r="P704" s="43"/>
      <c r="Q704" s="43"/>
      <c r="R704" s="43"/>
    </row>
    <row r="705" ht="15.75" customHeight="1">
      <c r="O705" s="43"/>
      <c r="P705" s="43"/>
      <c r="Q705" s="43"/>
      <c r="R705" s="43"/>
    </row>
    <row r="706" ht="15.75" customHeight="1">
      <c r="O706" s="43"/>
      <c r="P706" s="43"/>
      <c r="Q706" s="43"/>
      <c r="R706" s="43"/>
    </row>
    <row r="707" ht="15.75" customHeight="1">
      <c r="O707" s="43"/>
      <c r="P707" s="43"/>
      <c r="Q707" s="43"/>
      <c r="R707" s="43"/>
    </row>
    <row r="708" ht="15.75" customHeight="1">
      <c r="O708" s="43"/>
      <c r="P708" s="43"/>
      <c r="Q708" s="43"/>
      <c r="R708" s="43"/>
    </row>
    <row r="709" ht="15.75" customHeight="1">
      <c r="O709" s="43"/>
      <c r="P709" s="43"/>
      <c r="Q709" s="43"/>
      <c r="R709" s="43"/>
    </row>
    <row r="710" ht="15.75" customHeight="1">
      <c r="O710" s="43"/>
      <c r="P710" s="43"/>
      <c r="Q710" s="43"/>
      <c r="R710" s="43"/>
    </row>
    <row r="711" ht="15.75" customHeight="1">
      <c r="O711" s="43"/>
      <c r="P711" s="43"/>
      <c r="Q711" s="43"/>
      <c r="R711" s="43"/>
    </row>
    <row r="712" ht="15.75" customHeight="1">
      <c r="O712" s="43"/>
      <c r="P712" s="43"/>
      <c r="Q712" s="43"/>
      <c r="R712" s="43"/>
    </row>
    <row r="713" ht="15.75" customHeight="1">
      <c r="O713" s="43"/>
      <c r="P713" s="43"/>
      <c r="Q713" s="43"/>
      <c r="R713" s="43"/>
    </row>
    <row r="714" ht="15.75" customHeight="1">
      <c r="O714" s="43"/>
      <c r="P714" s="43"/>
      <c r="Q714" s="43"/>
      <c r="R714" s="43"/>
    </row>
    <row r="715" ht="15.75" customHeight="1">
      <c r="O715" s="43"/>
      <c r="P715" s="43"/>
      <c r="Q715" s="43"/>
      <c r="R715" s="43"/>
    </row>
    <row r="716" ht="15.75" customHeight="1">
      <c r="O716" s="43"/>
      <c r="P716" s="43"/>
      <c r="Q716" s="43"/>
      <c r="R716" s="43"/>
    </row>
    <row r="717" ht="15.75" customHeight="1">
      <c r="O717" s="43"/>
      <c r="P717" s="43"/>
      <c r="Q717" s="43"/>
      <c r="R717" s="43"/>
    </row>
    <row r="718" ht="15.75" customHeight="1">
      <c r="O718" s="43"/>
      <c r="P718" s="43"/>
      <c r="Q718" s="43"/>
      <c r="R718" s="43"/>
    </row>
    <row r="719" ht="15.75" customHeight="1">
      <c r="O719" s="43"/>
      <c r="P719" s="43"/>
      <c r="Q719" s="43"/>
      <c r="R719" s="43"/>
    </row>
    <row r="720" ht="15.75" customHeight="1">
      <c r="O720" s="43"/>
      <c r="P720" s="43"/>
      <c r="Q720" s="43"/>
      <c r="R720" s="43"/>
    </row>
    <row r="721" ht="15.75" customHeight="1">
      <c r="O721" s="43"/>
      <c r="P721" s="43"/>
      <c r="Q721" s="43"/>
      <c r="R721" s="43"/>
    </row>
    <row r="722" ht="15.75" customHeight="1">
      <c r="O722" s="43"/>
      <c r="P722" s="43"/>
      <c r="Q722" s="43"/>
      <c r="R722" s="43"/>
    </row>
    <row r="723" ht="15.75" customHeight="1">
      <c r="O723" s="43"/>
      <c r="P723" s="43"/>
      <c r="Q723" s="43"/>
      <c r="R723" s="43"/>
    </row>
    <row r="724" ht="15.75" customHeight="1">
      <c r="O724" s="43"/>
      <c r="P724" s="43"/>
      <c r="Q724" s="43"/>
      <c r="R724" s="43"/>
    </row>
    <row r="725" ht="15.75" customHeight="1">
      <c r="O725" s="43"/>
      <c r="P725" s="43"/>
      <c r="Q725" s="43"/>
      <c r="R725" s="43"/>
    </row>
    <row r="726" ht="15.75" customHeight="1">
      <c r="O726" s="43"/>
      <c r="P726" s="43"/>
      <c r="Q726" s="43"/>
      <c r="R726" s="43"/>
    </row>
    <row r="727" ht="15.75" customHeight="1">
      <c r="O727" s="43"/>
      <c r="P727" s="43"/>
      <c r="Q727" s="43"/>
      <c r="R727" s="43"/>
    </row>
    <row r="728" ht="15.75" customHeight="1">
      <c r="O728" s="43"/>
      <c r="P728" s="43"/>
      <c r="Q728" s="43"/>
      <c r="R728" s="43"/>
    </row>
    <row r="729" ht="15.75" customHeight="1">
      <c r="O729" s="43"/>
      <c r="P729" s="43"/>
      <c r="Q729" s="43"/>
      <c r="R729" s="43"/>
    </row>
    <row r="730" ht="15.75" customHeight="1">
      <c r="O730" s="43"/>
      <c r="P730" s="43"/>
      <c r="Q730" s="43"/>
      <c r="R730" s="43"/>
    </row>
    <row r="731" ht="15.75" customHeight="1">
      <c r="O731" s="43"/>
      <c r="P731" s="43"/>
      <c r="Q731" s="43"/>
      <c r="R731" s="43"/>
    </row>
    <row r="732" ht="15.75" customHeight="1">
      <c r="O732" s="43"/>
      <c r="P732" s="43"/>
      <c r="Q732" s="43"/>
      <c r="R732" s="43"/>
    </row>
    <row r="733" ht="15.75" customHeight="1">
      <c r="O733" s="43"/>
      <c r="P733" s="43"/>
      <c r="Q733" s="43"/>
      <c r="R733" s="43"/>
    </row>
    <row r="734" ht="15.75" customHeight="1">
      <c r="O734" s="43"/>
      <c r="P734" s="43"/>
      <c r="Q734" s="43"/>
      <c r="R734" s="43"/>
    </row>
    <row r="735" ht="15.75" customHeight="1">
      <c r="O735" s="43"/>
      <c r="P735" s="43"/>
      <c r="Q735" s="43"/>
      <c r="R735" s="43"/>
    </row>
    <row r="736" ht="15.75" customHeight="1">
      <c r="O736" s="43"/>
      <c r="P736" s="43"/>
      <c r="Q736" s="43"/>
      <c r="R736" s="43"/>
    </row>
    <row r="737" ht="15.75" customHeight="1">
      <c r="O737" s="43"/>
      <c r="P737" s="43"/>
      <c r="Q737" s="43"/>
      <c r="R737" s="43"/>
    </row>
    <row r="738" ht="15.75" customHeight="1">
      <c r="O738" s="43"/>
      <c r="P738" s="43"/>
      <c r="Q738" s="43"/>
      <c r="R738" s="43"/>
    </row>
    <row r="739" ht="15.75" customHeight="1">
      <c r="O739" s="43"/>
      <c r="P739" s="43"/>
      <c r="Q739" s="43"/>
      <c r="R739" s="43"/>
    </row>
    <row r="740" ht="15.75" customHeight="1">
      <c r="O740" s="43"/>
      <c r="P740" s="43"/>
      <c r="Q740" s="43"/>
      <c r="R740" s="43"/>
    </row>
    <row r="741" ht="15.75" customHeight="1">
      <c r="O741" s="43"/>
      <c r="P741" s="43"/>
      <c r="Q741" s="43"/>
      <c r="R741" s="43"/>
    </row>
    <row r="742" ht="15.75" customHeight="1">
      <c r="O742" s="43"/>
      <c r="P742" s="43"/>
      <c r="Q742" s="43"/>
      <c r="R742" s="43"/>
    </row>
    <row r="743" ht="15.75" customHeight="1">
      <c r="O743" s="43"/>
      <c r="P743" s="43"/>
      <c r="Q743" s="43"/>
      <c r="R743" s="43"/>
    </row>
    <row r="744" ht="15.75" customHeight="1">
      <c r="O744" s="43"/>
      <c r="P744" s="43"/>
      <c r="Q744" s="43"/>
      <c r="R744" s="43"/>
    </row>
    <row r="745" ht="15.75" customHeight="1">
      <c r="O745" s="43"/>
      <c r="P745" s="43"/>
      <c r="Q745" s="43"/>
      <c r="R745" s="43"/>
    </row>
    <row r="746" ht="15.75" customHeight="1">
      <c r="O746" s="43"/>
      <c r="P746" s="43"/>
      <c r="Q746" s="43"/>
      <c r="R746" s="43"/>
    </row>
    <row r="747" ht="15.75" customHeight="1">
      <c r="O747" s="43"/>
      <c r="P747" s="43"/>
      <c r="Q747" s="43"/>
      <c r="R747" s="43"/>
    </row>
    <row r="748" ht="15.75" customHeight="1">
      <c r="O748" s="43"/>
      <c r="P748" s="43"/>
      <c r="Q748" s="43"/>
      <c r="R748" s="43"/>
    </row>
    <row r="749" ht="15.75" customHeight="1">
      <c r="O749" s="43"/>
      <c r="P749" s="43"/>
      <c r="Q749" s="43"/>
      <c r="R749" s="43"/>
    </row>
    <row r="750" ht="15.75" customHeight="1">
      <c r="O750" s="43"/>
      <c r="P750" s="43"/>
      <c r="Q750" s="43"/>
      <c r="R750" s="43"/>
    </row>
    <row r="751" ht="15.75" customHeight="1">
      <c r="O751" s="43"/>
      <c r="P751" s="43"/>
      <c r="Q751" s="43"/>
      <c r="R751" s="43"/>
    </row>
    <row r="752" ht="15.75" customHeight="1">
      <c r="O752" s="43"/>
      <c r="P752" s="43"/>
      <c r="Q752" s="43"/>
      <c r="R752" s="43"/>
    </row>
    <row r="753" ht="15.75" customHeight="1">
      <c r="O753" s="43"/>
      <c r="P753" s="43"/>
      <c r="Q753" s="43"/>
      <c r="R753" s="43"/>
    </row>
    <row r="754" ht="15.75" customHeight="1">
      <c r="O754" s="43"/>
      <c r="P754" s="43"/>
      <c r="Q754" s="43"/>
      <c r="R754" s="43"/>
    </row>
    <row r="755" ht="15.75" customHeight="1">
      <c r="O755" s="43"/>
      <c r="P755" s="43"/>
      <c r="Q755" s="43"/>
      <c r="R755" s="43"/>
    </row>
    <row r="756" ht="15.75" customHeight="1">
      <c r="O756" s="43"/>
      <c r="P756" s="43"/>
      <c r="Q756" s="43"/>
      <c r="R756" s="43"/>
    </row>
    <row r="757" ht="15.75" customHeight="1">
      <c r="O757" s="43"/>
      <c r="P757" s="43"/>
      <c r="Q757" s="43"/>
      <c r="R757" s="43"/>
    </row>
    <row r="758" ht="15.75" customHeight="1">
      <c r="O758" s="43"/>
      <c r="P758" s="43"/>
      <c r="Q758" s="43"/>
      <c r="R758" s="43"/>
    </row>
    <row r="759" ht="15.75" customHeight="1">
      <c r="O759" s="43"/>
      <c r="P759" s="43"/>
      <c r="Q759" s="43"/>
      <c r="R759" s="43"/>
    </row>
    <row r="760" ht="15.75" customHeight="1">
      <c r="O760" s="43"/>
      <c r="P760" s="43"/>
      <c r="Q760" s="43"/>
      <c r="R760" s="43"/>
    </row>
    <row r="761" ht="15.75" customHeight="1">
      <c r="O761" s="43"/>
      <c r="P761" s="43"/>
      <c r="Q761" s="43"/>
      <c r="R761" s="43"/>
    </row>
    <row r="762" ht="15.75" customHeight="1">
      <c r="O762" s="43"/>
      <c r="P762" s="43"/>
      <c r="Q762" s="43"/>
      <c r="R762" s="43"/>
    </row>
    <row r="763" ht="15.75" customHeight="1">
      <c r="O763" s="43"/>
      <c r="P763" s="43"/>
      <c r="Q763" s="43"/>
      <c r="R763" s="43"/>
    </row>
    <row r="764" ht="15.75" customHeight="1">
      <c r="O764" s="43"/>
      <c r="P764" s="43"/>
      <c r="Q764" s="43"/>
      <c r="R764" s="43"/>
    </row>
    <row r="765" ht="15.75" customHeight="1">
      <c r="O765" s="43"/>
      <c r="P765" s="43"/>
      <c r="Q765" s="43"/>
      <c r="R765" s="43"/>
    </row>
    <row r="766" ht="15.75" customHeight="1">
      <c r="O766" s="43"/>
      <c r="P766" s="43"/>
      <c r="Q766" s="43"/>
      <c r="R766" s="43"/>
    </row>
    <row r="767" ht="15.75" customHeight="1">
      <c r="O767" s="43"/>
      <c r="P767" s="43"/>
      <c r="Q767" s="43"/>
      <c r="R767" s="43"/>
    </row>
    <row r="768" ht="15.75" customHeight="1">
      <c r="O768" s="43"/>
      <c r="P768" s="43"/>
      <c r="Q768" s="43"/>
      <c r="R768" s="43"/>
    </row>
    <row r="769" ht="15.75" customHeight="1">
      <c r="O769" s="43"/>
      <c r="P769" s="43"/>
      <c r="Q769" s="43"/>
      <c r="R769" s="43"/>
    </row>
    <row r="770" ht="15.75" customHeight="1">
      <c r="O770" s="43"/>
      <c r="P770" s="43"/>
      <c r="Q770" s="43"/>
      <c r="R770" s="43"/>
    </row>
    <row r="771" ht="15.75" customHeight="1">
      <c r="O771" s="43"/>
      <c r="P771" s="43"/>
      <c r="Q771" s="43"/>
      <c r="R771" s="43"/>
    </row>
    <row r="772" ht="15.75" customHeight="1">
      <c r="O772" s="43"/>
      <c r="P772" s="43"/>
      <c r="Q772" s="43"/>
      <c r="R772" s="43"/>
    </row>
    <row r="773" ht="15.75" customHeight="1">
      <c r="O773" s="43"/>
      <c r="P773" s="43"/>
      <c r="Q773" s="43"/>
      <c r="R773" s="43"/>
    </row>
    <row r="774" ht="15.75" customHeight="1">
      <c r="O774" s="43"/>
      <c r="P774" s="43"/>
      <c r="Q774" s="43"/>
      <c r="R774" s="43"/>
    </row>
    <row r="775" ht="15.75" customHeight="1">
      <c r="O775" s="43"/>
      <c r="P775" s="43"/>
      <c r="Q775" s="43"/>
      <c r="R775" s="43"/>
    </row>
    <row r="776" ht="15.75" customHeight="1">
      <c r="O776" s="43"/>
      <c r="P776" s="43"/>
      <c r="Q776" s="43"/>
      <c r="R776" s="43"/>
    </row>
    <row r="777" ht="15.75" customHeight="1">
      <c r="O777" s="43"/>
      <c r="P777" s="43"/>
      <c r="Q777" s="43"/>
      <c r="R777" s="43"/>
    </row>
    <row r="778" ht="15.75" customHeight="1">
      <c r="O778" s="43"/>
      <c r="P778" s="43"/>
      <c r="Q778" s="43"/>
      <c r="R778" s="43"/>
    </row>
    <row r="779" ht="15.75" customHeight="1">
      <c r="O779" s="43"/>
      <c r="P779" s="43"/>
      <c r="Q779" s="43"/>
      <c r="R779" s="43"/>
    </row>
    <row r="780" ht="15.75" customHeight="1">
      <c r="O780" s="43"/>
      <c r="P780" s="43"/>
      <c r="Q780" s="43"/>
      <c r="R780" s="43"/>
    </row>
    <row r="781" ht="15.75" customHeight="1">
      <c r="O781" s="43"/>
      <c r="P781" s="43"/>
      <c r="Q781" s="43"/>
      <c r="R781" s="43"/>
    </row>
    <row r="782" ht="15.75" customHeight="1">
      <c r="O782" s="43"/>
      <c r="P782" s="43"/>
      <c r="Q782" s="43"/>
      <c r="R782" s="43"/>
    </row>
    <row r="783" ht="15.75" customHeight="1">
      <c r="O783" s="43"/>
      <c r="P783" s="43"/>
      <c r="Q783" s="43"/>
      <c r="R783" s="43"/>
    </row>
    <row r="784" ht="15.75" customHeight="1">
      <c r="O784" s="43"/>
      <c r="P784" s="43"/>
      <c r="Q784" s="43"/>
      <c r="R784" s="43"/>
    </row>
    <row r="785" ht="15.75" customHeight="1">
      <c r="O785" s="43"/>
      <c r="P785" s="43"/>
      <c r="Q785" s="43"/>
      <c r="R785" s="43"/>
    </row>
    <row r="786" ht="15.75" customHeight="1">
      <c r="O786" s="43"/>
      <c r="P786" s="43"/>
      <c r="Q786" s="43"/>
      <c r="R786" s="43"/>
    </row>
    <row r="787" ht="15.75" customHeight="1">
      <c r="O787" s="43"/>
      <c r="P787" s="43"/>
      <c r="Q787" s="43"/>
      <c r="R787" s="43"/>
    </row>
    <row r="788" ht="15.75" customHeight="1">
      <c r="O788" s="43"/>
      <c r="P788" s="43"/>
      <c r="Q788" s="43"/>
      <c r="R788" s="43"/>
    </row>
    <row r="789" ht="15.75" customHeight="1">
      <c r="O789" s="43"/>
      <c r="P789" s="43"/>
      <c r="Q789" s="43"/>
      <c r="R789" s="43"/>
    </row>
    <row r="790" ht="15.75" customHeight="1">
      <c r="O790" s="43"/>
      <c r="P790" s="43"/>
      <c r="Q790" s="43"/>
      <c r="R790" s="43"/>
    </row>
    <row r="791" ht="15.75" customHeight="1">
      <c r="O791" s="43"/>
      <c r="P791" s="43"/>
      <c r="Q791" s="43"/>
      <c r="R791" s="43"/>
    </row>
    <row r="792" ht="15.75" customHeight="1">
      <c r="O792" s="43"/>
      <c r="P792" s="43"/>
      <c r="Q792" s="43"/>
      <c r="R792" s="43"/>
    </row>
    <row r="793" ht="15.75" customHeight="1">
      <c r="O793" s="43"/>
      <c r="P793" s="43"/>
      <c r="Q793" s="43"/>
      <c r="R793" s="43"/>
    </row>
    <row r="794" ht="15.75" customHeight="1">
      <c r="O794" s="43"/>
      <c r="P794" s="43"/>
      <c r="Q794" s="43"/>
      <c r="R794" s="43"/>
    </row>
    <row r="795" ht="15.75" customHeight="1">
      <c r="O795" s="43"/>
      <c r="P795" s="43"/>
      <c r="Q795" s="43"/>
      <c r="R795" s="43"/>
    </row>
    <row r="796" ht="15.75" customHeight="1">
      <c r="O796" s="43"/>
      <c r="P796" s="43"/>
      <c r="Q796" s="43"/>
      <c r="R796" s="43"/>
    </row>
    <row r="797" ht="15.75" customHeight="1">
      <c r="O797" s="43"/>
      <c r="P797" s="43"/>
      <c r="Q797" s="43"/>
      <c r="R797" s="43"/>
    </row>
    <row r="798" ht="15.75" customHeight="1">
      <c r="O798" s="43"/>
      <c r="P798" s="43"/>
      <c r="Q798" s="43"/>
      <c r="R798" s="43"/>
    </row>
    <row r="799" ht="15.75" customHeight="1">
      <c r="O799" s="43"/>
      <c r="P799" s="43"/>
      <c r="Q799" s="43"/>
      <c r="R799" s="43"/>
    </row>
    <row r="800" ht="15.75" customHeight="1">
      <c r="O800" s="43"/>
      <c r="P800" s="43"/>
      <c r="Q800" s="43"/>
      <c r="R800" s="43"/>
    </row>
    <row r="801" ht="15.75" customHeight="1">
      <c r="O801" s="43"/>
      <c r="P801" s="43"/>
      <c r="Q801" s="43"/>
      <c r="R801" s="43"/>
    </row>
    <row r="802" ht="15.75" customHeight="1">
      <c r="O802" s="43"/>
      <c r="P802" s="43"/>
      <c r="Q802" s="43"/>
      <c r="R802" s="43"/>
    </row>
    <row r="803" ht="15.75" customHeight="1">
      <c r="O803" s="43"/>
      <c r="P803" s="43"/>
      <c r="Q803" s="43"/>
      <c r="R803" s="43"/>
    </row>
    <row r="804" ht="15.75" customHeight="1">
      <c r="O804" s="43"/>
      <c r="P804" s="43"/>
      <c r="Q804" s="43"/>
      <c r="R804" s="43"/>
    </row>
    <row r="805" ht="15.75" customHeight="1">
      <c r="O805" s="43"/>
      <c r="P805" s="43"/>
      <c r="Q805" s="43"/>
      <c r="R805" s="43"/>
    </row>
    <row r="806" ht="15.75" customHeight="1">
      <c r="O806" s="43"/>
      <c r="P806" s="43"/>
      <c r="Q806" s="43"/>
      <c r="R806" s="43"/>
    </row>
    <row r="807" ht="15.75" customHeight="1">
      <c r="O807" s="43"/>
      <c r="P807" s="43"/>
      <c r="Q807" s="43"/>
      <c r="R807" s="43"/>
    </row>
    <row r="808" ht="15.75" customHeight="1">
      <c r="O808" s="43"/>
      <c r="P808" s="43"/>
      <c r="Q808" s="43"/>
      <c r="R808" s="43"/>
    </row>
    <row r="809" ht="15.75" customHeight="1">
      <c r="O809" s="43"/>
      <c r="P809" s="43"/>
      <c r="Q809" s="43"/>
      <c r="R809" s="43"/>
    </row>
    <row r="810" ht="15.75" customHeight="1">
      <c r="O810" s="43"/>
      <c r="P810" s="43"/>
      <c r="Q810" s="43"/>
      <c r="R810" s="43"/>
    </row>
    <row r="811" ht="15.75" customHeight="1">
      <c r="O811" s="43"/>
      <c r="P811" s="43"/>
      <c r="Q811" s="43"/>
      <c r="R811" s="43"/>
    </row>
    <row r="812" ht="15.75" customHeight="1">
      <c r="O812" s="43"/>
      <c r="P812" s="43"/>
      <c r="Q812" s="43"/>
      <c r="R812" s="43"/>
    </row>
    <row r="813" ht="15.75" customHeight="1">
      <c r="O813" s="43"/>
      <c r="P813" s="43"/>
      <c r="Q813" s="43"/>
      <c r="R813" s="43"/>
    </row>
    <row r="814" ht="15.75" customHeight="1">
      <c r="O814" s="43"/>
      <c r="P814" s="43"/>
      <c r="Q814" s="43"/>
      <c r="R814" s="43"/>
    </row>
    <row r="815" ht="15.75" customHeight="1">
      <c r="O815" s="43"/>
      <c r="P815" s="43"/>
      <c r="Q815" s="43"/>
      <c r="R815" s="43"/>
    </row>
    <row r="816" ht="15.75" customHeight="1">
      <c r="O816" s="43"/>
      <c r="P816" s="43"/>
      <c r="Q816" s="43"/>
      <c r="R816" s="43"/>
    </row>
    <row r="817" ht="15.75" customHeight="1">
      <c r="O817" s="43"/>
      <c r="P817" s="43"/>
      <c r="Q817" s="43"/>
      <c r="R817" s="43"/>
    </row>
    <row r="818" ht="15.75" customHeight="1">
      <c r="O818" s="43"/>
      <c r="P818" s="43"/>
      <c r="Q818" s="43"/>
      <c r="R818" s="43"/>
    </row>
    <row r="819" ht="15.75" customHeight="1">
      <c r="O819" s="43"/>
      <c r="P819" s="43"/>
      <c r="Q819" s="43"/>
      <c r="R819" s="43"/>
    </row>
    <row r="820" ht="15.75" customHeight="1">
      <c r="O820" s="43"/>
      <c r="P820" s="43"/>
      <c r="Q820" s="43"/>
      <c r="R820" s="43"/>
    </row>
    <row r="821" ht="15.75" customHeight="1">
      <c r="O821" s="43"/>
      <c r="P821" s="43"/>
      <c r="Q821" s="43"/>
      <c r="R821" s="43"/>
    </row>
    <row r="822" ht="15.75" customHeight="1">
      <c r="O822" s="43"/>
      <c r="P822" s="43"/>
      <c r="Q822" s="43"/>
      <c r="R822" s="43"/>
    </row>
    <row r="823" ht="15.75" customHeight="1">
      <c r="O823" s="43"/>
      <c r="P823" s="43"/>
      <c r="Q823" s="43"/>
      <c r="R823" s="43"/>
    </row>
    <row r="824" ht="15.75" customHeight="1">
      <c r="O824" s="43"/>
      <c r="P824" s="43"/>
      <c r="Q824" s="43"/>
      <c r="R824" s="43"/>
    </row>
    <row r="825" ht="15.75" customHeight="1">
      <c r="O825" s="43"/>
      <c r="P825" s="43"/>
      <c r="Q825" s="43"/>
      <c r="R825" s="43"/>
    </row>
    <row r="826" ht="15.75" customHeight="1">
      <c r="O826" s="43"/>
      <c r="P826" s="43"/>
      <c r="Q826" s="43"/>
      <c r="R826" s="43"/>
    </row>
    <row r="827" ht="15.75" customHeight="1">
      <c r="O827" s="43"/>
      <c r="P827" s="43"/>
      <c r="Q827" s="43"/>
      <c r="R827" s="43"/>
    </row>
    <row r="828" ht="15.75" customHeight="1">
      <c r="O828" s="43"/>
      <c r="P828" s="43"/>
      <c r="Q828" s="43"/>
      <c r="R828" s="43"/>
    </row>
    <row r="829" ht="15.75" customHeight="1">
      <c r="O829" s="43"/>
      <c r="P829" s="43"/>
      <c r="Q829" s="43"/>
      <c r="R829" s="43"/>
    </row>
    <row r="830" ht="15.75" customHeight="1">
      <c r="O830" s="43"/>
      <c r="P830" s="43"/>
      <c r="Q830" s="43"/>
      <c r="R830" s="43"/>
    </row>
    <row r="831" ht="15.75" customHeight="1">
      <c r="O831" s="43"/>
      <c r="P831" s="43"/>
      <c r="Q831" s="43"/>
      <c r="R831" s="43"/>
    </row>
    <row r="832" ht="15.75" customHeight="1">
      <c r="O832" s="43"/>
      <c r="P832" s="43"/>
      <c r="Q832" s="43"/>
      <c r="R832" s="43"/>
    </row>
    <row r="833" ht="15.75" customHeight="1">
      <c r="O833" s="43"/>
      <c r="P833" s="43"/>
      <c r="Q833" s="43"/>
      <c r="R833" s="43"/>
    </row>
    <row r="834" ht="15.75" customHeight="1">
      <c r="O834" s="43"/>
      <c r="P834" s="43"/>
      <c r="Q834" s="43"/>
      <c r="R834" s="43"/>
    </row>
    <row r="835" ht="15.75" customHeight="1">
      <c r="O835" s="43"/>
      <c r="P835" s="43"/>
      <c r="Q835" s="43"/>
      <c r="R835" s="43"/>
    </row>
    <row r="836" ht="15.75" customHeight="1">
      <c r="O836" s="43"/>
      <c r="P836" s="43"/>
      <c r="Q836" s="43"/>
      <c r="R836" s="43"/>
    </row>
    <row r="837" ht="15.75" customHeight="1">
      <c r="O837" s="43"/>
      <c r="P837" s="43"/>
      <c r="Q837" s="43"/>
      <c r="R837" s="43"/>
    </row>
    <row r="838" ht="15.75" customHeight="1">
      <c r="O838" s="43"/>
      <c r="P838" s="43"/>
      <c r="Q838" s="43"/>
      <c r="R838" s="43"/>
    </row>
    <row r="839" ht="15.75" customHeight="1">
      <c r="O839" s="43"/>
      <c r="P839" s="43"/>
      <c r="Q839" s="43"/>
      <c r="R839" s="43"/>
    </row>
    <row r="840" ht="15.75" customHeight="1">
      <c r="O840" s="43"/>
      <c r="P840" s="43"/>
      <c r="Q840" s="43"/>
      <c r="R840" s="43"/>
    </row>
    <row r="841" ht="15.75" customHeight="1">
      <c r="O841" s="43"/>
      <c r="P841" s="43"/>
      <c r="Q841" s="43"/>
      <c r="R841" s="43"/>
    </row>
    <row r="842" ht="15.75" customHeight="1">
      <c r="O842" s="43"/>
      <c r="P842" s="43"/>
      <c r="Q842" s="43"/>
      <c r="R842" s="43"/>
    </row>
    <row r="843" ht="15.75" customHeight="1">
      <c r="O843" s="43"/>
      <c r="P843" s="43"/>
      <c r="Q843" s="43"/>
      <c r="R843" s="43"/>
    </row>
    <row r="844" ht="15.75" customHeight="1">
      <c r="O844" s="43"/>
      <c r="P844" s="43"/>
      <c r="Q844" s="43"/>
      <c r="R844" s="43"/>
    </row>
    <row r="845" ht="15.75" customHeight="1">
      <c r="O845" s="43"/>
      <c r="P845" s="43"/>
      <c r="Q845" s="43"/>
      <c r="R845" s="43"/>
    </row>
    <row r="846" ht="15.75" customHeight="1">
      <c r="O846" s="43"/>
      <c r="P846" s="43"/>
      <c r="Q846" s="43"/>
      <c r="R846" s="43"/>
    </row>
    <row r="847" ht="15.75" customHeight="1">
      <c r="O847" s="43"/>
      <c r="P847" s="43"/>
      <c r="Q847" s="43"/>
      <c r="R847" s="43"/>
    </row>
    <row r="848" ht="15.75" customHeight="1">
      <c r="O848" s="43"/>
      <c r="P848" s="43"/>
      <c r="Q848" s="43"/>
      <c r="R848" s="43"/>
    </row>
    <row r="849" ht="15.75" customHeight="1">
      <c r="O849" s="43"/>
      <c r="P849" s="43"/>
      <c r="Q849" s="43"/>
      <c r="R849" s="43"/>
    </row>
    <row r="850" ht="15.75" customHeight="1">
      <c r="O850" s="43"/>
      <c r="P850" s="43"/>
      <c r="Q850" s="43"/>
      <c r="R850" s="43"/>
    </row>
    <row r="851" ht="15.75" customHeight="1">
      <c r="O851" s="43"/>
      <c r="P851" s="43"/>
      <c r="Q851" s="43"/>
      <c r="R851" s="43"/>
    </row>
    <row r="852" ht="15.75" customHeight="1">
      <c r="O852" s="43"/>
      <c r="P852" s="43"/>
      <c r="Q852" s="43"/>
      <c r="R852" s="43"/>
    </row>
    <row r="853" ht="15.75" customHeight="1">
      <c r="O853" s="43"/>
      <c r="P853" s="43"/>
      <c r="Q853" s="43"/>
      <c r="R853" s="43"/>
    </row>
    <row r="854" ht="15.75" customHeight="1">
      <c r="O854" s="43"/>
      <c r="P854" s="43"/>
      <c r="Q854" s="43"/>
      <c r="R854" s="43"/>
    </row>
    <row r="855" ht="15.75" customHeight="1">
      <c r="O855" s="43"/>
      <c r="P855" s="43"/>
      <c r="Q855" s="43"/>
      <c r="R855" s="43"/>
    </row>
    <row r="856" ht="15.75" customHeight="1">
      <c r="O856" s="43"/>
      <c r="P856" s="43"/>
      <c r="Q856" s="43"/>
      <c r="R856" s="43"/>
    </row>
    <row r="857" ht="15.75" customHeight="1">
      <c r="O857" s="43"/>
      <c r="P857" s="43"/>
      <c r="Q857" s="43"/>
      <c r="R857" s="43"/>
    </row>
    <row r="858" ht="15.75" customHeight="1">
      <c r="O858" s="43"/>
      <c r="P858" s="43"/>
      <c r="Q858" s="43"/>
      <c r="R858" s="43"/>
    </row>
    <row r="859" ht="15.75" customHeight="1">
      <c r="O859" s="43"/>
      <c r="P859" s="43"/>
      <c r="Q859" s="43"/>
      <c r="R859" s="43"/>
    </row>
    <row r="860" ht="15.75" customHeight="1">
      <c r="O860" s="43"/>
      <c r="P860" s="43"/>
      <c r="Q860" s="43"/>
      <c r="R860" s="43"/>
    </row>
    <row r="861" ht="15.75" customHeight="1">
      <c r="O861" s="43"/>
      <c r="P861" s="43"/>
      <c r="Q861" s="43"/>
      <c r="R861" s="43"/>
    </row>
    <row r="862" ht="15.75" customHeight="1">
      <c r="O862" s="43"/>
      <c r="P862" s="43"/>
      <c r="Q862" s="43"/>
      <c r="R862" s="43"/>
    </row>
    <row r="863" ht="15.75" customHeight="1">
      <c r="O863" s="43"/>
      <c r="P863" s="43"/>
      <c r="Q863" s="43"/>
      <c r="R863" s="43"/>
    </row>
    <row r="864" ht="15.75" customHeight="1">
      <c r="O864" s="43"/>
      <c r="P864" s="43"/>
      <c r="Q864" s="43"/>
      <c r="R864" s="43"/>
    </row>
    <row r="865" ht="15.75" customHeight="1">
      <c r="O865" s="43"/>
      <c r="P865" s="43"/>
      <c r="Q865" s="43"/>
      <c r="R865" s="43"/>
    </row>
    <row r="866" ht="15.75" customHeight="1">
      <c r="O866" s="43"/>
      <c r="P866" s="43"/>
      <c r="Q866" s="43"/>
      <c r="R866" s="43"/>
    </row>
    <row r="867" ht="15.75" customHeight="1">
      <c r="O867" s="43"/>
      <c r="P867" s="43"/>
      <c r="Q867" s="43"/>
      <c r="R867" s="43"/>
    </row>
    <row r="868" ht="15.75" customHeight="1">
      <c r="O868" s="43"/>
      <c r="P868" s="43"/>
      <c r="Q868" s="43"/>
      <c r="R868" s="43"/>
    </row>
    <row r="869" ht="15.75" customHeight="1">
      <c r="O869" s="43"/>
      <c r="P869" s="43"/>
      <c r="Q869" s="43"/>
      <c r="R869" s="43"/>
    </row>
    <row r="870" ht="15.75" customHeight="1">
      <c r="O870" s="43"/>
      <c r="P870" s="43"/>
      <c r="Q870" s="43"/>
      <c r="R870" s="43"/>
    </row>
    <row r="871" ht="15.75" customHeight="1">
      <c r="O871" s="43"/>
      <c r="P871" s="43"/>
      <c r="Q871" s="43"/>
      <c r="R871" s="43"/>
    </row>
    <row r="872" ht="15.75" customHeight="1">
      <c r="O872" s="43"/>
      <c r="P872" s="43"/>
      <c r="Q872" s="43"/>
      <c r="R872" s="43"/>
    </row>
    <row r="873" ht="15.75" customHeight="1">
      <c r="O873" s="43"/>
      <c r="P873" s="43"/>
      <c r="Q873" s="43"/>
      <c r="R873" s="43"/>
    </row>
    <row r="874" ht="15.75" customHeight="1">
      <c r="O874" s="43"/>
      <c r="P874" s="43"/>
      <c r="Q874" s="43"/>
      <c r="R874" s="43"/>
    </row>
    <row r="875" ht="15.75" customHeight="1">
      <c r="O875" s="43"/>
      <c r="P875" s="43"/>
      <c r="Q875" s="43"/>
      <c r="R875" s="43"/>
    </row>
    <row r="876" ht="15.75" customHeight="1">
      <c r="O876" s="43"/>
      <c r="P876" s="43"/>
      <c r="Q876" s="43"/>
      <c r="R876" s="43"/>
    </row>
    <row r="877" ht="15.75" customHeight="1">
      <c r="O877" s="43"/>
      <c r="P877" s="43"/>
      <c r="Q877" s="43"/>
      <c r="R877" s="43"/>
    </row>
    <row r="878" ht="15.75" customHeight="1">
      <c r="O878" s="43"/>
      <c r="P878" s="43"/>
      <c r="Q878" s="43"/>
      <c r="R878" s="43"/>
    </row>
    <row r="879" ht="15.75" customHeight="1">
      <c r="O879" s="43"/>
      <c r="P879" s="43"/>
      <c r="Q879" s="43"/>
      <c r="R879" s="43"/>
    </row>
    <row r="880" ht="15.75" customHeight="1">
      <c r="O880" s="43"/>
      <c r="P880" s="43"/>
      <c r="Q880" s="43"/>
      <c r="R880" s="43"/>
    </row>
    <row r="881" ht="15.75" customHeight="1">
      <c r="O881" s="43"/>
      <c r="P881" s="43"/>
      <c r="Q881" s="43"/>
      <c r="R881" s="43"/>
    </row>
    <row r="882" ht="15.75" customHeight="1">
      <c r="O882" s="43"/>
      <c r="P882" s="43"/>
      <c r="Q882" s="43"/>
      <c r="R882" s="43"/>
    </row>
    <row r="883" ht="15.75" customHeight="1">
      <c r="O883" s="43"/>
      <c r="P883" s="43"/>
      <c r="Q883" s="43"/>
      <c r="R883" s="43"/>
    </row>
    <row r="884" ht="15.75" customHeight="1">
      <c r="O884" s="43"/>
      <c r="P884" s="43"/>
      <c r="Q884" s="43"/>
      <c r="R884" s="43"/>
    </row>
    <row r="885" ht="15.75" customHeight="1">
      <c r="O885" s="43"/>
      <c r="P885" s="43"/>
      <c r="Q885" s="43"/>
      <c r="R885" s="43"/>
    </row>
    <row r="886" ht="15.75" customHeight="1">
      <c r="O886" s="43"/>
      <c r="P886" s="43"/>
      <c r="Q886" s="43"/>
      <c r="R886" s="43"/>
    </row>
    <row r="887" ht="15.75" customHeight="1">
      <c r="O887" s="43"/>
      <c r="P887" s="43"/>
      <c r="Q887" s="43"/>
      <c r="R887" s="43"/>
    </row>
    <row r="888" ht="15.75" customHeight="1">
      <c r="O888" s="43"/>
      <c r="P888" s="43"/>
      <c r="Q888" s="43"/>
      <c r="R888" s="43"/>
    </row>
    <row r="889" ht="15.75" customHeight="1">
      <c r="O889" s="43"/>
      <c r="P889" s="43"/>
      <c r="Q889" s="43"/>
      <c r="R889" s="43"/>
    </row>
    <row r="890" ht="15.75" customHeight="1">
      <c r="O890" s="43"/>
      <c r="P890" s="43"/>
      <c r="Q890" s="43"/>
      <c r="R890" s="43"/>
    </row>
    <row r="891" ht="15.75" customHeight="1">
      <c r="O891" s="43"/>
      <c r="P891" s="43"/>
      <c r="Q891" s="43"/>
      <c r="R891" s="43"/>
    </row>
    <row r="892" ht="15.75" customHeight="1">
      <c r="O892" s="43"/>
      <c r="P892" s="43"/>
      <c r="Q892" s="43"/>
      <c r="R892" s="43"/>
    </row>
    <row r="893" ht="15.75" customHeight="1">
      <c r="O893" s="43"/>
      <c r="P893" s="43"/>
      <c r="Q893" s="43"/>
      <c r="R893" s="43"/>
    </row>
    <row r="894" ht="15.75" customHeight="1">
      <c r="O894" s="43"/>
      <c r="P894" s="43"/>
      <c r="Q894" s="43"/>
      <c r="R894" s="43"/>
    </row>
    <row r="895" ht="15.75" customHeight="1">
      <c r="O895" s="43"/>
      <c r="P895" s="43"/>
      <c r="Q895" s="43"/>
      <c r="R895" s="43"/>
    </row>
    <row r="896" ht="15.75" customHeight="1">
      <c r="O896" s="43"/>
      <c r="P896" s="43"/>
      <c r="Q896" s="43"/>
      <c r="R896" s="43"/>
    </row>
    <row r="897" ht="15.75" customHeight="1">
      <c r="O897" s="43"/>
      <c r="P897" s="43"/>
      <c r="Q897" s="43"/>
      <c r="R897" s="43"/>
    </row>
    <row r="898" ht="15.75" customHeight="1">
      <c r="O898" s="43"/>
      <c r="P898" s="43"/>
      <c r="Q898" s="43"/>
      <c r="R898" s="43"/>
    </row>
    <row r="899" ht="15.75" customHeight="1">
      <c r="O899" s="43"/>
      <c r="P899" s="43"/>
      <c r="Q899" s="43"/>
      <c r="R899" s="43"/>
    </row>
    <row r="900" ht="15.75" customHeight="1">
      <c r="O900" s="43"/>
      <c r="P900" s="43"/>
      <c r="Q900" s="43"/>
      <c r="R900" s="43"/>
    </row>
    <row r="901" ht="15.75" customHeight="1">
      <c r="O901" s="43"/>
      <c r="P901" s="43"/>
      <c r="Q901" s="43"/>
      <c r="R901" s="43"/>
    </row>
    <row r="902" ht="15.75" customHeight="1">
      <c r="O902" s="43"/>
      <c r="P902" s="43"/>
      <c r="Q902" s="43"/>
      <c r="R902" s="43"/>
    </row>
    <row r="903" ht="15.75" customHeight="1">
      <c r="O903" s="43"/>
      <c r="P903" s="43"/>
      <c r="Q903" s="43"/>
      <c r="R903" s="43"/>
    </row>
    <row r="904" ht="15.75" customHeight="1">
      <c r="O904" s="43"/>
      <c r="P904" s="43"/>
      <c r="Q904" s="43"/>
      <c r="R904" s="43"/>
    </row>
    <row r="905" ht="15.75" customHeight="1">
      <c r="O905" s="43"/>
      <c r="P905" s="43"/>
      <c r="Q905" s="43"/>
      <c r="R905" s="43"/>
    </row>
    <row r="906" ht="15.75" customHeight="1">
      <c r="O906" s="43"/>
      <c r="P906" s="43"/>
      <c r="Q906" s="43"/>
      <c r="R906" s="43"/>
    </row>
    <row r="907" ht="15.75" customHeight="1">
      <c r="O907" s="43"/>
      <c r="P907" s="43"/>
      <c r="Q907" s="43"/>
      <c r="R907" s="43"/>
    </row>
    <row r="908" ht="15.75" customHeight="1">
      <c r="O908" s="43"/>
      <c r="P908" s="43"/>
      <c r="Q908" s="43"/>
      <c r="R908" s="43"/>
    </row>
    <row r="909" ht="15.75" customHeight="1">
      <c r="O909" s="43"/>
      <c r="P909" s="43"/>
      <c r="Q909" s="43"/>
      <c r="R909" s="43"/>
    </row>
    <row r="910" ht="15.75" customHeight="1">
      <c r="O910" s="43"/>
      <c r="P910" s="43"/>
      <c r="Q910" s="43"/>
      <c r="R910" s="43"/>
    </row>
    <row r="911" ht="15.75" customHeight="1">
      <c r="O911" s="43"/>
      <c r="P911" s="43"/>
      <c r="Q911" s="43"/>
      <c r="R911" s="43"/>
    </row>
    <row r="912" ht="15.75" customHeight="1">
      <c r="O912" s="43"/>
      <c r="P912" s="43"/>
      <c r="Q912" s="43"/>
      <c r="R912" s="43"/>
    </row>
    <row r="913" ht="15.75" customHeight="1">
      <c r="O913" s="43"/>
      <c r="P913" s="43"/>
      <c r="Q913" s="43"/>
      <c r="R913" s="43"/>
    </row>
    <row r="914" ht="15.75" customHeight="1">
      <c r="O914" s="43"/>
      <c r="P914" s="43"/>
      <c r="Q914" s="43"/>
      <c r="R914" s="43"/>
    </row>
    <row r="915" ht="15.75" customHeight="1">
      <c r="O915" s="43"/>
      <c r="P915" s="43"/>
      <c r="Q915" s="43"/>
      <c r="R915" s="43"/>
    </row>
    <row r="916" ht="15.75" customHeight="1">
      <c r="O916" s="43"/>
      <c r="P916" s="43"/>
      <c r="Q916" s="43"/>
      <c r="R916" s="43"/>
    </row>
    <row r="917" ht="15.75" customHeight="1">
      <c r="O917" s="43"/>
      <c r="P917" s="43"/>
      <c r="Q917" s="43"/>
      <c r="R917" s="43"/>
    </row>
    <row r="918" ht="15.75" customHeight="1">
      <c r="O918" s="43"/>
      <c r="P918" s="43"/>
      <c r="Q918" s="43"/>
      <c r="R918" s="43"/>
    </row>
    <row r="919" ht="15.75" customHeight="1">
      <c r="O919" s="43"/>
      <c r="P919" s="43"/>
      <c r="Q919" s="43"/>
      <c r="R919" s="43"/>
    </row>
    <row r="920" ht="15.75" customHeight="1">
      <c r="O920" s="43"/>
      <c r="P920" s="43"/>
      <c r="Q920" s="43"/>
      <c r="R920" s="43"/>
    </row>
    <row r="921" ht="15.75" customHeight="1">
      <c r="O921" s="43"/>
      <c r="P921" s="43"/>
      <c r="Q921" s="43"/>
      <c r="R921" s="43"/>
    </row>
    <row r="922" ht="15.75" customHeight="1">
      <c r="O922" s="43"/>
      <c r="P922" s="43"/>
      <c r="Q922" s="43"/>
      <c r="R922" s="43"/>
    </row>
    <row r="923" ht="15.75" customHeight="1">
      <c r="O923" s="43"/>
      <c r="P923" s="43"/>
      <c r="Q923" s="43"/>
      <c r="R923" s="43"/>
    </row>
    <row r="924" ht="15.75" customHeight="1">
      <c r="O924" s="43"/>
      <c r="P924" s="43"/>
      <c r="Q924" s="43"/>
      <c r="R924" s="43"/>
    </row>
    <row r="925" ht="15.75" customHeight="1">
      <c r="O925" s="43"/>
      <c r="P925" s="43"/>
      <c r="Q925" s="43"/>
      <c r="R925" s="43"/>
    </row>
    <row r="926" ht="15.75" customHeight="1">
      <c r="O926" s="43"/>
      <c r="P926" s="43"/>
      <c r="Q926" s="43"/>
      <c r="R926" s="43"/>
    </row>
    <row r="927" ht="15.75" customHeight="1">
      <c r="O927" s="43"/>
      <c r="P927" s="43"/>
      <c r="Q927" s="43"/>
      <c r="R927" s="43"/>
    </row>
    <row r="928" ht="15.75" customHeight="1">
      <c r="O928" s="43"/>
      <c r="P928" s="43"/>
      <c r="Q928" s="43"/>
      <c r="R928" s="43"/>
    </row>
    <row r="929" ht="15.75" customHeight="1">
      <c r="O929" s="43"/>
      <c r="P929" s="43"/>
      <c r="Q929" s="43"/>
      <c r="R929" s="43"/>
    </row>
    <row r="930" ht="15.75" customHeight="1">
      <c r="O930" s="43"/>
      <c r="P930" s="43"/>
      <c r="Q930" s="43"/>
      <c r="R930" s="43"/>
    </row>
    <row r="931" ht="15.75" customHeight="1">
      <c r="O931" s="43"/>
      <c r="P931" s="43"/>
      <c r="Q931" s="43"/>
      <c r="R931" s="43"/>
    </row>
    <row r="932" ht="15.75" customHeight="1">
      <c r="O932" s="43"/>
      <c r="P932" s="43"/>
      <c r="Q932" s="43"/>
      <c r="R932" s="43"/>
    </row>
    <row r="933" ht="15.75" customHeight="1">
      <c r="O933" s="43"/>
      <c r="P933" s="43"/>
      <c r="Q933" s="43"/>
      <c r="R933" s="43"/>
    </row>
    <row r="934" ht="15.75" customHeight="1">
      <c r="O934" s="43"/>
      <c r="P934" s="43"/>
      <c r="Q934" s="43"/>
      <c r="R934" s="43"/>
    </row>
    <row r="935" ht="15.75" customHeight="1">
      <c r="O935" s="43"/>
      <c r="P935" s="43"/>
      <c r="Q935" s="43"/>
      <c r="R935" s="43"/>
    </row>
    <row r="936" ht="15.75" customHeight="1">
      <c r="O936" s="43"/>
      <c r="P936" s="43"/>
      <c r="Q936" s="43"/>
      <c r="R936" s="43"/>
    </row>
    <row r="937" ht="15.75" customHeight="1">
      <c r="O937" s="43"/>
      <c r="P937" s="43"/>
      <c r="Q937" s="43"/>
      <c r="R937" s="43"/>
    </row>
    <row r="938" ht="15.75" customHeight="1">
      <c r="O938" s="43"/>
      <c r="P938" s="43"/>
      <c r="Q938" s="43"/>
      <c r="R938" s="43"/>
    </row>
    <row r="939" ht="15.75" customHeight="1">
      <c r="O939" s="43"/>
      <c r="P939" s="43"/>
      <c r="Q939" s="43"/>
      <c r="R939" s="43"/>
    </row>
    <row r="940" ht="15.75" customHeight="1">
      <c r="O940" s="43"/>
      <c r="P940" s="43"/>
      <c r="Q940" s="43"/>
      <c r="R940" s="43"/>
    </row>
    <row r="941" ht="15.75" customHeight="1">
      <c r="O941" s="43"/>
      <c r="P941" s="43"/>
      <c r="Q941" s="43"/>
      <c r="R941" s="43"/>
    </row>
    <row r="942" ht="15.75" customHeight="1">
      <c r="O942" s="43"/>
      <c r="P942" s="43"/>
      <c r="Q942" s="43"/>
      <c r="R942" s="43"/>
    </row>
    <row r="943" ht="15.75" customHeight="1">
      <c r="O943" s="43"/>
      <c r="P943" s="43"/>
      <c r="Q943" s="43"/>
      <c r="R943" s="43"/>
    </row>
    <row r="944" ht="15.75" customHeight="1">
      <c r="O944" s="43"/>
      <c r="P944" s="43"/>
      <c r="Q944" s="43"/>
      <c r="R944" s="43"/>
    </row>
    <row r="945" ht="15.75" customHeight="1">
      <c r="O945" s="43"/>
      <c r="P945" s="43"/>
      <c r="Q945" s="43"/>
      <c r="R945" s="43"/>
    </row>
    <row r="946" ht="15.75" customHeight="1">
      <c r="O946" s="43"/>
      <c r="P946" s="43"/>
      <c r="Q946" s="43"/>
      <c r="R946" s="43"/>
    </row>
    <row r="947" ht="15.75" customHeight="1">
      <c r="O947" s="43"/>
      <c r="P947" s="43"/>
      <c r="Q947" s="43"/>
      <c r="R947" s="43"/>
    </row>
    <row r="948" ht="15.75" customHeight="1">
      <c r="O948" s="43"/>
      <c r="P948" s="43"/>
      <c r="Q948" s="43"/>
      <c r="R948" s="43"/>
    </row>
    <row r="949" ht="15.75" customHeight="1">
      <c r="O949" s="43"/>
      <c r="P949" s="43"/>
      <c r="Q949" s="43"/>
      <c r="R949" s="43"/>
    </row>
    <row r="950" ht="15.75" customHeight="1">
      <c r="O950" s="43"/>
      <c r="P950" s="43"/>
      <c r="Q950" s="43"/>
      <c r="R950" s="43"/>
    </row>
    <row r="951" ht="15.75" customHeight="1">
      <c r="O951" s="43"/>
      <c r="P951" s="43"/>
      <c r="Q951" s="43"/>
      <c r="R951" s="43"/>
    </row>
    <row r="952" ht="15.75" customHeight="1">
      <c r="O952" s="43"/>
      <c r="P952" s="43"/>
      <c r="Q952" s="43"/>
      <c r="R952" s="43"/>
    </row>
    <row r="953" ht="15.75" customHeight="1">
      <c r="O953" s="43"/>
      <c r="P953" s="43"/>
      <c r="Q953" s="43"/>
      <c r="R953" s="43"/>
    </row>
    <row r="954" ht="15.75" customHeight="1">
      <c r="O954" s="43"/>
      <c r="P954" s="43"/>
      <c r="Q954" s="43"/>
      <c r="R954" s="43"/>
    </row>
    <row r="955" ht="15.75" customHeight="1">
      <c r="O955" s="43"/>
      <c r="P955" s="43"/>
      <c r="Q955" s="43"/>
      <c r="R955" s="43"/>
    </row>
    <row r="956" ht="15.75" customHeight="1">
      <c r="O956" s="43"/>
      <c r="P956" s="43"/>
      <c r="Q956" s="43"/>
      <c r="R956" s="43"/>
    </row>
    <row r="957" ht="15.75" customHeight="1">
      <c r="O957" s="43"/>
      <c r="P957" s="43"/>
      <c r="Q957" s="43"/>
      <c r="R957" s="43"/>
    </row>
    <row r="958" ht="15.75" customHeight="1">
      <c r="O958" s="43"/>
      <c r="P958" s="43"/>
      <c r="Q958" s="43"/>
      <c r="R958" s="43"/>
    </row>
    <row r="959" ht="15.75" customHeight="1">
      <c r="O959" s="43"/>
      <c r="P959" s="43"/>
      <c r="Q959" s="43"/>
      <c r="R959" s="43"/>
    </row>
    <row r="960" ht="15.75" customHeight="1">
      <c r="O960" s="43"/>
      <c r="P960" s="43"/>
      <c r="Q960" s="43"/>
      <c r="R960" s="43"/>
    </row>
    <row r="961" ht="15.75" customHeight="1">
      <c r="O961" s="43"/>
      <c r="P961" s="43"/>
      <c r="Q961" s="43"/>
      <c r="R961" s="43"/>
    </row>
    <row r="962" ht="15.75" customHeight="1">
      <c r="O962" s="43"/>
      <c r="P962" s="43"/>
      <c r="Q962" s="43"/>
      <c r="R962" s="43"/>
    </row>
    <row r="963" ht="15.75" customHeight="1">
      <c r="O963" s="43"/>
      <c r="P963" s="43"/>
      <c r="Q963" s="43"/>
      <c r="R963" s="43"/>
    </row>
    <row r="964" ht="15.75" customHeight="1">
      <c r="O964" s="43"/>
      <c r="P964" s="43"/>
      <c r="Q964" s="43"/>
      <c r="R964" s="43"/>
    </row>
    <row r="965" ht="15.75" customHeight="1">
      <c r="O965" s="43"/>
      <c r="P965" s="43"/>
      <c r="Q965" s="43"/>
      <c r="R965" s="43"/>
    </row>
    <row r="966" ht="15.75" customHeight="1">
      <c r="O966" s="43"/>
      <c r="P966" s="43"/>
      <c r="Q966" s="43"/>
      <c r="R966" s="43"/>
    </row>
    <row r="967" ht="15.75" customHeight="1">
      <c r="O967" s="43"/>
      <c r="P967" s="43"/>
      <c r="Q967" s="43"/>
      <c r="R967" s="43"/>
    </row>
    <row r="968" ht="15.75" customHeight="1">
      <c r="O968" s="43"/>
      <c r="P968" s="43"/>
      <c r="Q968" s="43"/>
      <c r="R968" s="43"/>
    </row>
    <row r="969" ht="15.75" customHeight="1">
      <c r="O969" s="43"/>
      <c r="P969" s="43"/>
      <c r="Q969" s="43"/>
      <c r="R969" s="43"/>
    </row>
    <row r="970" ht="15.75" customHeight="1">
      <c r="O970" s="43"/>
      <c r="P970" s="43"/>
      <c r="Q970" s="43"/>
      <c r="R970" s="43"/>
    </row>
    <row r="971" ht="15.75" customHeight="1">
      <c r="O971" s="43"/>
      <c r="P971" s="43"/>
      <c r="Q971" s="43"/>
      <c r="R971" s="43"/>
    </row>
    <row r="972" ht="15.75" customHeight="1">
      <c r="O972" s="43"/>
      <c r="P972" s="43"/>
      <c r="Q972" s="43"/>
      <c r="R972" s="43"/>
    </row>
    <row r="973" ht="15.75" customHeight="1">
      <c r="O973" s="43"/>
      <c r="P973" s="43"/>
      <c r="Q973" s="43"/>
      <c r="R973" s="43"/>
    </row>
    <row r="974" ht="15.75" customHeight="1">
      <c r="O974" s="43"/>
      <c r="P974" s="43"/>
      <c r="Q974" s="43"/>
      <c r="R974" s="43"/>
    </row>
    <row r="975" ht="15.75" customHeight="1">
      <c r="O975" s="43"/>
      <c r="P975" s="43"/>
      <c r="Q975" s="43"/>
      <c r="R975" s="43"/>
    </row>
    <row r="976" ht="15.75" customHeight="1">
      <c r="O976" s="43"/>
      <c r="P976" s="43"/>
      <c r="Q976" s="43"/>
      <c r="R976" s="43"/>
    </row>
    <row r="977" ht="15.75" customHeight="1">
      <c r="O977" s="43"/>
      <c r="P977" s="43"/>
      <c r="Q977" s="43"/>
      <c r="R977" s="43"/>
    </row>
    <row r="978" ht="15.75" customHeight="1">
      <c r="O978" s="43"/>
      <c r="P978" s="43"/>
      <c r="Q978" s="43"/>
      <c r="R978" s="43"/>
    </row>
    <row r="979" ht="15.75" customHeight="1">
      <c r="O979" s="43"/>
      <c r="P979" s="43"/>
      <c r="Q979" s="43"/>
      <c r="R979" s="43"/>
    </row>
    <row r="980" ht="15.75" customHeight="1">
      <c r="O980" s="43"/>
      <c r="P980" s="43"/>
      <c r="Q980" s="43"/>
      <c r="R980" s="43"/>
    </row>
    <row r="981" ht="15.75" customHeight="1">
      <c r="O981" s="43"/>
      <c r="P981" s="43"/>
      <c r="Q981" s="43"/>
      <c r="R981" s="43"/>
    </row>
    <row r="982" ht="15.75" customHeight="1">
      <c r="O982" s="43"/>
      <c r="P982" s="43"/>
      <c r="Q982" s="43"/>
      <c r="R982" s="43"/>
    </row>
    <row r="983" ht="15.75" customHeight="1">
      <c r="O983" s="43"/>
      <c r="P983" s="43"/>
      <c r="Q983" s="43"/>
      <c r="R983" s="43"/>
    </row>
    <row r="984" ht="15.75" customHeight="1">
      <c r="O984" s="43"/>
      <c r="P984" s="43"/>
      <c r="Q984" s="43"/>
      <c r="R984" s="43"/>
    </row>
    <row r="985" ht="15.75" customHeight="1">
      <c r="O985" s="43"/>
      <c r="P985" s="43"/>
      <c r="Q985" s="43"/>
      <c r="R985" s="43"/>
    </row>
    <row r="986" ht="15.75" customHeight="1">
      <c r="O986" s="43"/>
      <c r="P986" s="43"/>
      <c r="Q986" s="43"/>
      <c r="R986" s="43"/>
    </row>
    <row r="987" ht="15.75" customHeight="1">
      <c r="O987" s="43"/>
      <c r="P987" s="43"/>
      <c r="Q987" s="43"/>
      <c r="R987" s="43"/>
    </row>
    <row r="988" ht="15.75" customHeight="1">
      <c r="O988" s="43"/>
      <c r="P988" s="43"/>
      <c r="Q988" s="43"/>
      <c r="R988" s="43"/>
    </row>
    <row r="989" ht="15.75" customHeight="1">
      <c r="O989" s="43"/>
      <c r="P989" s="43"/>
      <c r="Q989" s="43"/>
      <c r="R989" s="43"/>
    </row>
    <row r="990" ht="15.75" customHeight="1">
      <c r="O990" s="43"/>
      <c r="P990" s="43"/>
      <c r="Q990" s="43"/>
      <c r="R990" s="43"/>
    </row>
    <row r="991" ht="15.75" customHeight="1">
      <c r="O991" s="43"/>
      <c r="P991" s="43"/>
      <c r="Q991" s="43"/>
      <c r="R991" s="43"/>
    </row>
    <row r="992" ht="15.75" customHeight="1">
      <c r="O992" s="43"/>
      <c r="P992" s="43"/>
      <c r="Q992" s="43"/>
      <c r="R992" s="43"/>
    </row>
    <row r="993" ht="15.75" customHeight="1">
      <c r="O993" s="43"/>
      <c r="P993" s="43"/>
      <c r="Q993" s="43"/>
      <c r="R993" s="43"/>
    </row>
    <row r="994" ht="15.75" customHeight="1">
      <c r="O994" s="43"/>
      <c r="P994" s="43"/>
      <c r="Q994" s="43"/>
      <c r="R994" s="43"/>
    </row>
    <row r="995" ht="15.75" customHeight="1">
      <c r="O995" s="43"/>
      <c r="P995" s="43"/>
      <c r="Q995" s="43"/>
      <c r="R995" s="43"/>
    </row>
    <row r="996" ht="15.75" customHeight="1">
      <c r="O996" s="43"/>
      <c r="P996" s="43"/>
      <c r="Q996" s="43"/>
      <c r="R996" s="43"/>
    </row>
    <row r="997" ht="15.75" customHeight="1">
      <c r="O997" s="43"/>
      <c r="P997" s="43"/>
      <c r="Q997" s="43"/>
      <c r="R997" s="43"/>
    </row>
    <row r="998" ht="15.75" customHeight="1">
      <c r="O998" s="43"/>
      <c r="P998" s="43"/>
      <c r="Q998" s="43"/>
      <c r="R998" s="43"/>
    </row>
    <row r="999" ht="15.75" customHeight="1">
      <c r="O999" s="43"/>
      <c r="P999" s="43"/>
      <c r="Q999" s="43"/>
      <c r="R999" s="43"/>
    </row>
    <row r="1000" ht="15.75" customHeight="1">
      <c r="O1000" s="43"/>
      <c r="P1000" s="43"/>
      <c r="Q1000" s="43"/>
      <c r="R1000" s="43"/>
    </row>
  </sheetData>
  <mergeCells count="23">
    <mergeCell ref="P13:R13"/>
    <mergeCell ref="P14:R14"/>
    <mergeCell ref="M10:N11"/>
    <mergeCell ref="O10:O11"/>
    <mergeCell ref="P10:R11"/>
    <mergeCell ref="M12:N12"/>
    <mergeCell ref="P12:R12"/>
    <mergeCell ref="M13:N13"/>
    <mergeCell ref="M14:N14"/>
    <mergeCell ref="M18:N18"/>
    <mergeCell ref="M19:N19"/>
    <mergeCell ref="M20:N20"/>
    <mergeCell ref="P19:R19"/>
    <mergeCell ref="P20:R20"/>
    <mergeCell ref="P29:R29"/>
    <mergeCell ref="P30:R30"/>
    <mergeCell ref="M15:N15"/>
    <mergeCell ref="P15:R15"/>
    <mergeCell ref="M16:N16"/>
    <mergeCell ref="P16:R16"/>
    <mergeCell ref="M17:N17"/>
    <mergeCell ref="P17:R17"/>
    <mergeCell ref="P18:R1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89"/>
    <col customWidth="1" min="2" max="12" width="8.56"/>
    <col customWidth="1" min="13" max="13" width="22.33"/>
    <col customWidth="1" min="14" max="23" width="8.56"/>
    <col customWidth="1" min="24" max="24" width="17.0"/>
    <col customWidth="1" min="25" max="25" width="19.44"/>
    <col customWidth="1" min="26" max="26" width="8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44</v>
      </c>
      <c r="M1" s="1" t="s">
        <v>56</v>
      </c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  <c r="T1" s="2" t="s">
        <v>7</v>
      </c>
      <c r="U1" s="2" t="s">
        <v>8</v>
      </c>
      <c r="X1" s="1" t="s">
        <v>57</v>
      </c>
      <c r="Y1" s="73" t="s">
        <v>47</v>
      </c>
    </row>
    <row r="2" ht="15.75" customHeight="1">
      <c r="A2" s="2" t="s">
        <v>9</v>
      </c>
      <c r="B2" s="4">
        <f>7*16</f>
        <v>112</v>
      </c>
      <c r="C2" s="4"/>
      <c r="D2" s="4"/>
      <c r="E2" s="4"/>
      <c r="F2" s="4"/>
      <c r="G2" s="4">
        <f>13*16</f>
        <v>208</v>
      </c>
      <c r="H2" s="4"/>
      <c r="I2" s="4"/>
      <c r="J2" s="16">
        <f t="shared" ref="J2:J10" si="2">SUM(B2:I2)</f>
        <v>320</v>
      </c>
      <c r="M2" s="2" t="s">
        <v>9</v>
      </c>
      <c r="N2" s="4">
        <f t="shared" ref="N2:U2" si="1">B10*$J$2/$J$10</f>
        <v>42.66666667</v>
      </c>
      <c r="O2" s="4">
        <f t="shared" si="1"/>
        <v>17.77777778</v>
      </c>
      <c r="P2" s="4">
        <f t="shared" si="1"/>
        <v>64</v>
      </c>
      <c r="Q2" s="4">
        <f t="shared" si="1"/>
        <v>0</v>
      </c>
      <c r="R2" s="4">
        <f t="shared" si="1"/>
        <v>32</v>
      </c>
      <c r="S2" s="4">
        <f t="shared" si="1"/>
        <v>64</v>
      </c>
      <c r="T2" s="4">
        <f t="shared" si="1"/>
        <v>28.44444444</v>
      </c>
      <c r="U2" s="4">
        <f t="shared" si="1"/>
        <v>71.11111111</v>
      </c>
      <c r="X2" s="2" t="s">
        <v>58</v>
      </c>
      <c r="Y2" s="4">
        <f>V34</f>
        <v>27300</v>
      </c>
    </row>
    <row r="3" ht="15.75" customHeight="1">
      <c r="A3" s="2" t="s">
        <v>1</v>
      </c>
      <c r="B3" s="4"/>
      <c r="C3" s="4"/>
      <c r="D3" s="4">
        <f>5*16</f>
        <v>80</v>
      </c>
      <c r="E3" s="4"/>
      <c r="F3" s="4">
        <f>5*16</f>
        <v>80</v>
      </c>
      <c r="G3" s="4"/>
      <c r="H3" s="4">
        <f>2*16</f>
        <v>32</v>
      </c>
      <c r="I3" s="4"/>
      <c r="J3" s="16">
        <f t="shared" si="2"/>
        <v>192</v>
      </c>
      <c r="M3" s="2" t="s">
        <v>1</v>
      </c>
      <c r="N3" s="4">
        <f>B10*$J$3/$J$10</f>
        <v>25.6</v>
      </c>
      <c r="O3" s="4">
        <v>0.0</v>
      </c>
      <c r="P3" s="4">
        <f>5*16</f>
        <v>80</v>
      </c>
      <c r="Q3" s="4">
        <v>0.0</v>
      </c>
      <c r="R3" s="4">
        <f>5*16</f>
        <v>80</v>
      </c>
      <c r="S3" s="4">
        <v>0.0</v>
      </c>
      <c r="T3" s="4">
        <f>2*16</f>
        <v>32</v>
      </c>
      <c r="U3" s="4">
        <v>0.0</v>
      </c>
      <c r="X3" s="2" t="s">
        <v>59</v>
      </c>
      <c r="Y3" s="4">
        <f>U23</f>
        <v>39545.6</v>
      </c>
    </row>
    <row r="4" ht="15.75" customHeight="1">
      <c r="A4" s="2" t="s">
        <v>2</v>
      </c>
      <c r="B4" s="4"/>
      <c r="C4" s="4"/>
      <c r="D4" s="4"/>
      <c r="E4" s="4"/>
      <c r="F4" s="4"/>
      <c r="G4" s="4">
        <f>5*16</f>
        <v>80</v>
      </c>
      <c r="H4" s="4"/>
      <c r="I4" s="4"/>
      <c r="J4" s="16">
        <f t="shared" si="2"/>
        <v>80</v>
      </c>
      <c r="M4" s="2" t="s">
        <v>2</v>
      </c>
      <c r="N4" s="4">
        <f t="shared" ref="N4:U4" si="3">B10*$J$4/$J$10</f>
        <v>10.66666667</v>
      </c>
      <c r="O4" s="4">
        <f t="shared" si="3"/>
        <v>4.444444444</v>
      </c>
      <c r="P4" s="4">
        <f t="shared" si="3"/>
        <v>16</v>
      </c>
      <c r="Q4" s="4">
        <f t="shared" si="3"/>
        <v>0</v>
      </c>
      <c r="R4" s="4">
        <f t="shared" si="3"/>
        <v>8</v>
      </c>
      <c r="S4" s="4">
        <f t="shared" si="3"/>
        <v>16</v>
      </c>
      <c r="T4" s="4">
        <f t="shared" si="3"/>
        <v>7.111111111</v>
      </c>
      <c r="U4" s="4">
        <f t="shared" si="3"/>
        <v>17.77777778</v>
      </c>
      <c r="X4" s="2" t="s">
        <v>60</v>
      </c>
      <c r="Y4" s="4">
        <v>20.0</v>
      </c>
    </row>
    <row r="5" ht="15.75" customHeight="1">
      <c r="A5" s="2" t="s">
        <v>3</v>
      </c>
      <c r="B5" s="4">
        <f t="shared" ref="B5:C5" si="4">5*16</f>
        <v>80</v>
      </c>
      <c r="C5" s="4">
        <f t="shared" si="4"/>
        <v>80</v>
      </c>
      <c r="D5" s="4"/>
      <c r="E5" s="4"/>
      <c r="F5" s="4">
        <f>2*16</f>
        <v>32</v>
      </c>
      <c r="G5" s="4"/>
      <c r="H5" s="4">
        <f>6*16</f>
        <v>96</v>
      </c>
      <c r="I5" s="4"/>
      <c r="J5" s="16">
        <f t="shared" si="2"/>
        <v>288</v>
      </c>
      <c r="M5" s="2" t="s">
        <v>3</v>
      </c>
      <c r="N5" s="4">
        <f t="shared" ref="N5:U5" si="5">B10*$J$5/$J$10</f>
        <v>38.4</v>
      </c>
      <c r="O5" s="4">
        <f t="shared" si="5"/>
        <v>16</v>
      </c>
      <c r="P5" s="4">
        <f t="shared" si="5"/>
        <v>57.6</v>
      </c>
      <c r="Q5" s="4">
        <f t="shared" si="5"/>
        <v>0</v>
      </c>
      <c r="R5" s="4">
        <f t="shared" si="5"/>
        <v>28.8</v>
      </c>
      <c r="S5" s="4">
        <f t="shared" si="5"/>
        <v>57.6</v>
      </c>
      <c r="T5" s="4">
        <f t="shared" si="5"/>
        <v>25.6</v>
      </c>
      <c r="U5" s="4">
        <f t="shared" si="5"/>
        <v>64</v>
      </c>
      <c r="X5" s="2" t="s">
        <v>52</v>
      </c>
      <c r="Y5" s="4">
        <v>0.5</v>
      </c>
    </row>
    <row r="6" ht="15.75" customHeight="1">
      <c r="A6" s="2" t="s">
        <v>4</v>
      </c>
      <c r="B6" s="4"/>
      <c r="C6" s="4"/>
      <c r="D6" s="4"/>
      <c r="E6" s="4"/>
      <c r="F6" s="4"/>
      <c r="G6" s="4"/>
      <c r="H6" s="4"/>
      <c r="I6" s="4"/>
      <c r="J6" s="16">
        <f t="shared" si="2"/>
        <v>0</v>
      </c>
      <c r="M6" s="2" t="s">
        <v>4</v>
      </c>
      <c r="N6" s="4">
        <f t="shared" ref="N6:U6" si="6">B10*$J$6/$J$10</f>
        <v>0</v>
      </c>
      <c r="O6" s="4">
        <f t="shared" si="6"/>
        <v>0</v>
      </c>
      <c r="P6" s="4">
        <f t="shared" si="6"/>
        <v>0</v>
      </c>
      <c r="Q6" s="4">
        <f t="shared" si="6"/>
        <v>0</v>
      </c>
      <c r="R6" s="4">
        <f t="shared" si="6"/>
        <v>0</v>
      </c>
      <c r="S6" s="4">
        <f t="shared" si="6"/>
        <v>0</v>
      </c>
      <c r="T6" s="4">
        <f t="shared" si="6"/>
        <v>0</v>
      </c>
      <c r="U6" s="4">
        <f t="shared" si="6"/>
        <v>0</v>
      </c>
      <c r="X6" s="2" t="s">
        <v>53</v>
      </c>
      <c r="Y6" s="4">
        <v>0.5</v>
      </c>
    </row>
    <row r="7" ht="15.75" customHeight="1">
      <c r="A7" s="2" t="s">
        <v>5</v>
      </c>
      <c r="B7" s="4"/>
      <c r="C7" s="4"/>
      <c r="D7" s="4"/>
      <c r="E7" s="4"/>
      <c r="F7" s="4"/>
      <c r="G7" s="4"/>
      <c r="H7" s="4"/>
      <c r="I7" s="4">
        <f>9*16</f>
        <v>144</v>
      </c>
      <c r="J7" s="16">
        <f t="shared" si="2"/>
        <v>144</v>
      </c>
      <c r="M7" s="2" t="s">
        <v>5</v>
      </c>
      <c r="N7" s="4">
        <f t="shared" ref="N7:U7" si="7">B10*$J$7/$J$10</f>
        <v>19.2</v>
      </c>
      <c r="O7" s="4">
        <f t="shared" si="7"/>
        <v>8</v>
      </c>
      <c r="P7" s="4">
        <f t="shared" si="7"/>
        <v>28.8</v>
      </c>
      <c r="Q7" s="4">
        <f t="shared" si="7"/>
        <v>0</v>
      </c>
      <c r="R7" s="4">
        <f t="shared" si="7"/>
        <v>14.4</v>
      </c>
      <c r="S7" s="4">
        <f t="shared" si="7"/>
        <v>28.8</v>
      </c>
      <c r="T7" s="4">
        <f t="shared" si="7"/>
        <v>12.8</v>
      </c>
      <c r="U7" s="4">
        <f t="shared" si="7"/>
        <v>32</v>
      </c>
      <c r="X7" s="2" t="s">
        <v>55</v>
      </c>
      <c r="Y7" s="4">
        <f>J10</f>
        <v>1440</v>
      </c>
    </row>
    <row r="8" ht="15.75" customHeight="1">
      <c r="A8" s="2" t="s">
        <v>6</v>
      </c>
      <c r="B8" s="4"/>
      <c r="C8" s="4"/>
      <c r="D8" s="4">
        <f>13*16</f>
        <v>208</v>
      </c>
      <c r="E8" s="4"/>
      <c r="F8" s="4"/>
      <c r="G8" s="4"/>
      <c r="H8" s="4"/>
      <c r="I8" s="4">
        <f>5*16</f>
        <v>80</v>
      </c>
      <c r="J8" s="16">
        <f t="shared" si="2"/>
        <v>288</v>
      </c>
      <c r="M8" s="2" t="s">
        <v>6</v>
      </c>
      <c r="N8" s="4">
        <f t="shared" ref="N8:U8" si="8">B10*$J$8/$J$10</f>
        <v>38.4</v>
      </c>
      <c r="O8" s="4">
        <f t="shared" si="8"/>
        <v>16</v>
      </c>
      <c r="P8" s="4">
        <f t="shared" si="8"/>
        <v>57.6</v>
      </c>
      <c r="Q8" s="4">
        <f t="shared" si="8"/>
        <v>0</v>
      </c>
      <c r="R8" s="4">
        <f t="shared" si="8"/>
        <v>28.8</v>
      </c>
      <c r="S8" s="4">
        <f t="shared" si="8"/>
        <v>57.6</v>
      </c>
      <c r="T8" s="4">
        <f t="shared" si="8"/>
        <v>25.6</v>
      </c>
      <c r="U8" s="4">
        <f t="shared" si="8"/>
        <v>64</v>
      </c>
    </row>
    <row r="9" ht="15.75" customHeight="1">
      <c r="A9" s="2" t="s">
        <v>7</v>
      </c>
      <c r="B9" s="4"/>
      <c r="C9" s="4"/>
      <c r="D9" s="4"/>
      <c r="E9" s="4"/>
      <c r="F9" s="4">
        <f>2*16</f>
        <v>32</v>
      </c>
      <c r="G9" s="4"/>
      <c r="H9" s="4"/>
      <c r="I9" s="4">
        <f>6*16</f>
        <v>96</v>
      </c>
      <c r="J9" s="16">
        <f t="shared" si="2"/>
        <v>128</v>
      </c>
      <c r="M9" s="2" t="s">
        <v>7</v>
      </c>
      <c r="N9" s="4">
        <f t="shared" ref="N9:U9" si="9">B10*$J$9/$J$10</f>
        <v>17.06666667</v>
      </c>
      <c r="O9" s="4">
        <f t="shared" si="9"/>
        <v>7.111111111</v>
      </c>
      <c r="P9" s="4">
        <f t="shared" si="9"/>
        <v>25.6</v>
      </c>
      <c r="Q9" s="4">
        <f t="shared" si="9"/>
        <v>0</v>
      </c>
      <c r="R9" s="4">
        <f t="shared" si="9"/>
        <v>12.8</v>
      </c>
      <c r="S9" s="4">
        <f t="shared" si="9"/>
        <v>25.6</v>
      </c>
      <c r="T9" s="4">
        <f t="shared" si="9"/>
        <v>11.37777778</v>
      </c>
      <c r="U9" s="4">
        <f t="shared" si="9"/>
        <v>28.44444444</v>
      </c>
    </row>
    <row r="10" ht="15.75" customHeight="1">
      <c r="A10" s="2" t="s">
        <v>44</v>
      </c>
      <c r="B10" s="16">
        <f t="shared" ref="B10:I10" si="10">SUM(B2:B9)</f>
        <v>192</v>
      </c>
      <c r="C10" s="16">
        <f t="shared" si="10"/>
        <v>80</v>
      </c>
      <c r="D10" s="16">
        <f t="shared" si="10"/>
        <v>288</v>
      </c>
      <c r="E10" s="16">
        <f t="shared" si="10"/>
        <v>0</v>
      </c>
      <c r="F10" s="16">
        <f t="shared" si="10"/>
        <v>144</v>
      </c>
      <c r="G10" s="16">
        <f t="shared" si="10"/>
        <v>288</v>
      </c>
      <c r="H10" s="16">
        <f t="shared" si="10"/>
        <v>128</v>
      </c>
      <c r="I10" s="16">
        <f t="shared" si="10"/>
        <v>320</v>
      </c>
      <c r="J10" s="16">
        <f t="shared" si="2"/>
        <v>1440</v>
      </c>
    </row>
    <row r="11" ht="15.75" customHeight="1"/>
    <row r="12" ht="15.75" customHeight="1"/>
    <row r="13" ht="15.75" customHeight="1"/>
    <row r="14" ht="15.75" customHeight="1">
      <c r="A14" s="74" t="s">
        <v>20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M14" s="1" t="s">
        <v>61</v>
      </c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  <c r="S14" s="2" t="s">
        <v>6</v>
      </c>
      <c r="T14" s="2" t="s">
        <v>7</v>
      </c>
      <c r="U14" s="2" t="s">
        <v>8</v>
      </c>
    </row>
    <row r="15" ht="15.75" customHeight="1">
      <c r="A15" s="2" t="s">
        <v>9</v>
      </c>
      <c r="B15" s="9">
        <v>6.0</v>
      </c>
      <c r="C15" s="9">
        <v>18.0</v>
      </c>
      <c r="D15" s="9">
        <v>6.0</v>
      </c>
      <c r="E15" s="9">
        <v>12.0</v>
      </c>
      <c r="F15" s="9">
        <v>24.0</v>
      </c>
      <c r="G15" s="9">
        <v>18.0</v>
      </c>
      <c r="H15" s="9">
        <v>24.0</v>
      </c>
      <c r="I15" s="9">
        <v>30.0</v>
      </c>
      <c r="M15" s="2" t="s">
        <v>9</v>
      </c>
      <c r="N15" s="4">
        <f t="shared" ref="N15:U15" si="11">N2*B26</f>
        <v>1280</v>
      </c>
      <c r="O15" s="4">
        <f t="shared" si="11"/>
        <v>533.3333333</v>
      </c>
      <c r="P15" s="4">
        <f t="shared" si="11"/>
        <v>1920</v>
      </c>
      <c r="Q15" s="4">
        <f t="shared" si="11"/>
        <v>0</v>
      </c>
      <c r="R15" s="4">
        <f t="shared" si="11"/>
        <v>576</v>
      </c>
      <c r="S15" s="4">
        <f t="shared" si="11"/>
        <v>2688</v>
      </c>
      <c r="T15" s="4">
        <f t="shared" si="11"/>
        <v>1365.333333</v>
      </c>
      <c r="U15" s="4">
        <f t="shared" si="11"/>
        <v>1280</v>
      </c>
    </row>
    <row r="16" ht="15.75" customHeight="1">
      <c r="A16" s="2" t="s">
        <v>1</v>
      </c>
      <c r="B16" s="9">
        <v>0.0</v>
      </c>
      <c r="C16" s="9">
        <v>6.0</v>
      </c>
      <c r="D16" s="9">
        <v>30.0</v>
      </c>
      <c r="E16" s="9">
        <v>12.0</v>
      </c>
      <c r="F16" s="9">
        <v>24.0</v>
      </c>
      <c r="G16" s="9">
        <v>18.0</v>
      </c>
      <c r="H16" s="9">
        <v>24.0</v>
      </c>
      <c r="I16" s="9">
        <v>30.0</v>
      </c>
      <c r="M16" s="2" t="s">
        <v>1</v>
      </c>
      <c r="N16" s="4">
        <f t="shared" ref="N16:U16" si="12">N3*B27</f>
        <v>153.6</v>
      </c>
      <c r="O16" s="4">
        <f t="shared" si="12"/>
        <v>0</v>
      </c>
      <c r="P16" s="4">
        <f t="shared" si="12"/>
        <v>1440</v>
      </c>
      <c r="Q16" s="4">
        <f t="shared" si="12"/>
        <v>0</v>
      </c>
      <c r="R16" s="4">
        <f t="shared" si="12"/>
        <v>2400</v>
      </c>
      <c r="S16" s="4">
        <f t="shared" si="12"/>
        <v>0</v>
      </c>
      <c r="T16" s="4">
        <f t="shared" si="12"/>
        <v>1152</v>
      </c>
      <c r="U16" s="4">
        <f t="shared" si="12"/>
        <v>0</v>
      </c>
    </row>
    <row r="17" ht="15.75" customHeight="1">
      <c r="A17" s="2" t="s">
        <v>2</v>
      </c>
      <c r="B17" s="9">
        <v>54.0</v>
      </c>
      <c r="C17" s="9">
        <v>0.0</v>
      </c>
      <c r="D17" s="9">
        <v>30.0</v>
      </c>
      <c r="E17" s="9">
        <v>0.0</v>
      </c>
      <c r="F17" s="9">
        <v>24.0</v>
      </c>
      <c r="G17" s="9">
        <v>18.0</v>
      </c>
      <c r="H17" s="9">
        <v>12.0</v>
      </c>
      <c r="I17" s="9">
        <v>30.0</v>
      </c>
      <c r="M17" s="2" t="s">
        <v>2</v>
      </c>
      <c r="N17" s="4">
        <f t="shared" ref="N17:U17" si="13">N4*B28</f>
        <v>320</v>
      </c>
      <c r="O17" s="4">
        <f t="shared" si="13"/>
        <v>26.66666667</v>
      </c>
      <c r="P17" s="4">
        <f t="shared" si="13"/>
        <v>96</v>
      </c>
      <c r="Q17" s="4">
        <f t="shared" si="13"/>
        <v>0</v>
      </c>
      <c r="R17" s="4">
        <f t="shared" si="13"/>
        <v>144</v>
      </c>
      <c r="S17" s="4">
        <f t="shared" si="13"/>
        <v>288</v>
      </c>
      <c r="T17" s="4">
        <f t="shared" si="13"/>
        <v>170.6666667</v>
      </c>
      <c r="U17" s="4">
        <f t="shared" si="13"/>
        <v>320</v>
      </c>
    </row>
    <row r="18" ht="15.75" customHeight="1">
      <c r="A18" s="2" t="s">
        <v>3</v>
      </c>
      <c r="B18" s="9">
        <v>18.0</v>
      </c>
      <c r="C18" s="9">
        <v>30.0</v>
      </c>
      <c r="D18" s="9">
        <v>0.0</v>
      </c>
      <c r="E18" s="9">
        <v>24.0</v>
      </c>
      <c r="F18" s="9">
        <v>12.0</v>
      </c>
      <c r="G18" s="9">
        <v>6.0</v>
      </c>
      <c r="H18" s="9">
        <v>12.0</v>
      </c>
      <c r="I18" s="9">
        <v>18.0</v>
      </c>
      <c r="M18" s="2" t="s">
        <v>3</v>
      </c>
      <c r="N18" s="4">
        <f t="shared" ref="N18:U18" si="14">N5*B29</f>
        <v>1152</v>
      </c>
      <c r="O18" s="4">
        <f t="shared" si="14"/>
        <v>96</v>
      </c>
      <c r="P18" s="4">
        <f t="shared" si="14"/>
        <v>345.6</v>
      </c>
      <c r="Q18" s="4">
        <f t="shared" si="14"/>
        <v>0</v>
      </c>
      <c r="R18" s="4">
        <f t="shared" si="14"/>
        <v>518.4</v>
      </c>
      <c r="S18" s="4">
        <f t="shared" si="14"/>
        <v>1036.8</v>
      </c>
      <c r="T18" s="4">
        <f t="shared" si="14"/>
        <v>614.4</v>
      </c>
      <c r="U18" s="4">
        <f t="shared" si="14"/>
        <v>1152</v>
      </c>
    </row>
    <row r="19" ht="15.75" customHeight="1">
      <c r="A19" s="2" t="s">
        <v>4</v>
      </c>
      <c r="B19" s="9">
        <v>48.0</v>
      </c>
      <c r="C19" s="9">
        <v>60.0</v>
      </c>
      <c r="D19" s="9">
        <v>48.0</v>
      </c>
      <c r="E19" s="9">
        <v>0.0</v>
      </c>
      <c r="F19" s="9">
        <v>42.0</v>
      </c>
      <c r="G19" s="9">
        <v>60.0</v>
      </c>
      <c r="H19" s="9">
        <v>6.0</v>
      </c>
      <c r="I19" s="9">
        <v>24.0</v>
      </c>
      <c r="M19" s="2" t="s">
        <v>4</v>
      </c>
      <c r="N19" s="4">
        <f t="shared" ref="N19:U19" si="15">N6*B30</f>
        <v>0</v>
      </c>
      <c r="O19" s="4">
        <f t="shared" si="15"/>
        <v>0</v>
      </c>
      <c r="P19" s="4">
        <f t="shared" si="15"/>
        <v>0</v>
      </c>
      <c r="Q19" s="4">
        <f t="shared" si="15"/>
        <v>0</v>
      </c>
      <c r="R19" s="4">
        <f t="shared" si="15"/>
        <v>0</v>
      </c>
      <c r="S19" s="4">
        <f t="shared" si="15"/>
        <v>0</v>
      </c>
      <c r="T19" s="4">
        <f t="shared" si="15"/>
        <v>0</v>
      </c>
      <c r="U19" s="4">
        <f t="shared" si="15"/>
        <v>0</v>
      </c>
    </row>
    <row r="20" ht="15.75" customHeight="1">
      <c r="A20" s="2" t="s">
        <v>5</v>
      </c>
      <c r="B20" s="9">
        <v>30.0</v>
      </c>
      <c r="C20" s="9">
        <v>42.0</v>
      </c>
      <c r="D20" s="9">
        <v>30.0</v>
      </c>
      <c r="E20" s="9">
        <v>36.0</v>
      </c>
      <c r="F20" s="9">
        <v>0.0</v>
      </c>
      <c r="G20" s="9">
        <v>42.0</v>
      </c>
      <c r="H20" s="9">
        <v>48.0</v>
      </c>
      <c r="I20" s="9">
        <v>6.0</v>
      </c>
      <c r="M20" s="2" t="s">
        <v>5</v>
      </c>
      <c r="N20" s="4">
        <f t="shared" ref="N20:U20" si="16">N7*B31</f>
        <v>691.2</v>
      </c>
      <c r="O20" s="4">
        <f t="shared" si="16"/>
        <v>288</v>
      </c>
      <c r="P20" s="4">
        <f t="shared" si="16"/>
        <v>1036.8</v>
      </c>
      <c r="Q20" s="4">
        <f t="shared" si="16"/>
        <v>0</v>
      </c>
      <c r="R20" s="4">
        <f t="shared" si="16"/>
        <v>0</v>
      </c>
      <c r="S20" s="4">
        <f t="shared" si="16"/>
        <v>1382.4</v>
      </c>
      <c r="T20" s="4">
        <f t="shared" si="16"/>
        <v>691.2</v>
      </c>
      <c r="U20" s="4">
        <f t="shared" si="16"/>
        <v>768</v>
      </c>
      <c r="X20" s="75">
        <f>(((Y2+Y3)/Y4)+(Y7*(Y6+Y5)))/((16*60-60)*0.85)</f>
        <v>6.251346405</v>
      </c>
      <c r="Y20" s="37"/>
    </row>
    <row r="21" ht="15.75" customHeight="1">
      <c r="A21" s="2" t="s">
        <v>6</v>
      </c>
      <c r="B21" s="9">
        <v>30.0</v>
      </c>
      <c r="C21" s="9">
        <v>42.0</v>
      </c>
      <c r="D21" s="9">
        <v>30.0</v>
      </c>
      <c r="E21" s="9">
        <v>36.0</v>
      </c>
      <c r="F21" s="9">
        <v>24.0</v>
      </c>
      <c r="G21" s="9">
        <v>0.0</v>
      </c>
      <c r="H21" s="9">
        <v>48.0</v>
      </c>
      <c r="I21" s="9">
        <v>6.0</v>
      </c>
      <c r="M21" s="2" t="s">
        <v>6</v>
      </c>
      <c r="N21" s="4">
        <f t="shared" ref="N21:U21" si="17">N8*B32</f>
        <v>1612.8</v>
      </c>
      <c r="O21" s="4">
        <f t="shared" si="17"/>
        <v>672</v>
      </c>
      <c r="P21" s="4">
        <f t="shared" si="17"/>
        <v>2419.2</v>
      </c>
      <c r="Q21" s="4">
        <f t="shared" si="17"/>
        <v>0</v>
      </c>
      <c r="R21" s="4">
        <f t="shared" si="17"/>
        <v>864</v>
      </c>
      <c r="S21" s="4">
        <f t="shared" si="17"/>
        <v>345.6</v>
      </c>
      <c r="T21" s="4">
        <f t="shared" si="17"/>
        <v>1536</v>
      </c>
      <c r="U21" s="4">
        <f t="shared" si="17"/>
        <v>1920</v>
      </c>
      <c r="X21" s="76" t="s">
        <v>62</v>
      </c>
      <c r="Y21" s="37"/>
    </row>
    <row r="22" ht="15.75" customHeight="1">
      <c r="A22" s="2" t="s">
        <v>7</v>
      </c>
      <c r="B22" s="9">
        <v>36.0</v>
      </c>
      <c r="C22" s="9">
        <v>48.0</v>
      </c>
      <c r="D22" s="9">
        <v>36.0</v>
      </c>
      <c r="E22" s="9">
        <v>42.0</v>
      </c>
      <c r="F22" s="9">
        <v>30.0</v>
      </c>
      <c r="G22" s="9">
        <v>48.0</v>
      </c>
      <c r="H22" s="9">
        <v>0.0</v>
      </c>
      <c r="I22" s="9">
        <v>12.0</v>
      </c>
      <c r="M22" s="2" t="s">
        <v>7</v>
      </c>
      <c r="N22" s="4">
        <f t="shared" ref="N22:U22" si="18">N9*B33</f>
        <v>819.2</v>
      </c>
      <c r="O22" s="4">
        <f t="shared" si="18"/>
        <v>341.3333333</v>
      </c>
      <c r="P22" s="4">
        <f t="shared" si="18"/>
        <v>1228.8</v>
      </c>
      <c r="Q22" s="4">
        <f t="shared" si="18"/>
        <v>0</v>
      </c>
      <c r="R22" s="4">
        <f t="shared" si="18"/>
        <v>460.8</v>
      </c>
      <c r="S22" s="4">
        <f t="shared" si="18"/>
        <v>307.2</v>
      </c>
      <c r="T22" s="4">
        <f t="shared" si="18"/>
        <v>68.26666667</v>
      </c>
      <c r="U22" s="4">
        <f t="shared" si="18"/>
        <v>1024</v>
      </c>
    </row>
    <row r="23" ht="15.75" customHeight="1">
      <c r="T23" s="60" t="s">
        <v>63</v>
      </c>
      <c r="U23" s="60">
        <f>SUM(N15:U22)</f>
        <v>39545.6</v>
      </c>
    </row>
    <row r="24" ht="15.75" customHeight="1"/>
    <row r="25" ht="15.75" customHeight="1">
      <c r="A25" s="1" t="s">
        <v>21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2" t="s">
        <v>9</v>
      </c>
      <c r="M25" s="1" t="s">
        <v>64</v>
      </c>
      <c r="N25" s="2" t="s">
        <v>1</v>
      </c>
      <c r="O25" s="2" t="s">
        <v>2</v>
      </c>
      <c r="P25" s="2" t="s">
        <v>3</v>
      </c>
      <c r="Q25" s="2" t="s">
        <v>4</v>
      </c>
      <c r="R25" s="2" t="s">
        <v>5</v>
      </c>
      <c r="S25" s="2" t="s">
        <v>6</v>
      </c>
      <c r="T25" s="2" t="s">
        <v>7</v>
      </c>
      <c r="U25" s="2" t="s">
        <v>8</v>
      </c>
      <c r="V25" s="2" t="s">
        <v>44</v>
      </c>
    </row>
    <row r="26" ht="15.75" customHeight="1">
      <c r="A26" s="2" t="s">
        <v>8</v>
      </c>
      <c r="B26" s="4">
        <v>30.0</v>
      </c>
      <c r="C26" s="4">
        <v>30.0</v>
      </c>
      <c r="D26" s="4">
        <v>30.0</v>
      </c>
      <c r="E26" s="4">
        <v>36.0</v>
      </c>
      <c r="F26" s="4">
        <v>18.0</v>
      </c>
      <c r="G26" s="4">
        <v>42.0</v>
      </c>
      <c r="H26" s="4">
        <v>48.0</v>
      </c>
      <c r="I26" s="4">
        <v>18.0</v>
      </c>
      <c r="M26" s="2" t="s">
        <v>9</v>
      </c>
      <c r="N26" s="4">
        <f t="shared" ref="N26:U26" si="19">PRODUCT(B2,B15)</f>
        <v>672</v>
      </c>
      <c r="O26" s="4">
        <f t="shared" si="19"/>
        <v>18</v>
      </c>
      <c r="P26" s="4">
        <f t="shared" si="19"/>
        <v>6</v>
      </c>
      <c r="Q26" s="4">
        <f t="shared" si="19"/>
        <v>12</v>
      </c>
      <c r="R26" s="4">
        <f t="shared" si="19"/>
        <v>24</v>
      </c>
      <c r="S26" s="4">
        <f t="shared" si="19"/>
        <v>3744</v>
      </c>
      <c r="T26" s="4">
        <f t="shared" si="19"/>
        <v>24</v>
      </c>
      <c r="U26" s="4">
        <f t="shared" si="19"/>
        <v>30</v>
      </c>
      <c r="V26" s="16">
        <f t="shared" ref="V26:V34" si="21">SUM(N26:U26)</f>
        <v>4530</v>
      </c>
    </row>
    <row r="27" ht="15.75" customHeight="1">
      <c r="A27" s="2" t="s">
        <v>1</v>
      </c>
      <c r="B27" s="4">
        <v>6.0</v>
      </c>
      <c r="C27" s="4">
        <v>18.0</v>
      </c>
      <c r="D27" s="4">
        <v>18.0</v>
      </c>
      <c r="E27" s="4">
        <v>24.0</v>
      </c>
      <c r="F27" s="4">
        <v>30.0</v>
      </c>
      <c r="G27" s="4">
        <v>30.0</v>
      </c>
      <c r="H27" s="4">
        <v>36.0</v>
      </c>
      <c r="I27" s="4">
        <v>30.0</v>
      </c>
      <c r="M27" s="2" t="s">
        <v>1</v>
      </c>
      <c r="N27" s="4">
        <f t="shared" ref="N27:U27" si="20">PRODUCT(B3,B16)</f>
        <v>0</v>
      </c>
      <c r="O27" s="4">
        <f t="shared" si="20"/>
        <v>6</v>
      </c>
      <c r="P27" s="4">
        <f t="shared" si="20"/>
        <v>2400</v>
      </c>
      <c r="Q27" s="4">
        <f t="shared" si="20"/>
        <v>12</v>
      </c>
      <c r="R27" s="4">
        <f t="shared" si="20"/>
        <v>1920</v>
      </c>
      <c r="S27" s="4">
        <f t="shared" si="20"/>
        <v>18</v>
      </c>
      <c r="T27" s="4">
        <f t="shared" si="20"/>
        <v>768</v>
      </c>
      <c r="U27" s="4">
        <f t="shared" si="20"/>
        <v>30</v>
      </c>
      <c r="V27" s="16">
        <f t="shared" si="21"/>
        <v>5154</v>
      </c>
    </row>
    <row r="28" ht="15.75" customHeight="1">
      <c r="A28" s="2" t="s">
        <v>2</v>
      </c>
      <c r="B28" s="4">
        <v>30.0</v>
      </c>
      <c r="C28" s="4">
        <v>6.0</v>
      </c>
      <c r="D28" s="4">
        <v>6.0</v>
      </c>
      <c r="E28" s="4">
        <v>12.0</v>
      </c>
      <c r="F28" s="4">
        <v>18.0</v>
      </c>
      <c r="G28" s="4">
        <v>18.0</v>
      </c>
      <c r="H28" s="4">
        <v>24.0</v>
      </c>
      <c r="I28" s="4">
        <v>18.0</v>
      </c>
      <c r="M28" s="2" t="s">
        <v>2</v>
      </c>
      <c r="N28" s="4">
        <f t="shared" ref="N28:U28" si="22">PRODUCT(B4,B17)</f>
        <v>54</v>
      </c>
      <c r="O28" s="4">
        <f t="shared" si="22"/>
        <v>0</v>
      </c>
      <c r="P28" s="4">
        <f t="shared" si="22"/>
        <v>30</v>
      </c>
      <c r="Q28" s="4">
        <f t="shared" si="22"/>
        <v>0</v>
      </c>
      <c r="R28" s="4">
        <f t="shared" si="22"/>
        <v>24</v>
      </c>
      <c r="S28" s="4">
        <f t="shared" si="22"/>
        <v>1440</v>
      </c>
      <c r="T28" s="4">
        <f t="shared" si="22"/>
        <v>12</v>
      </c>
      <c r="U28" s="4">
        <f t="shared" si="22"/>
        <v>30</v>
      </c>
      <c r="V28" s="16">
        <f t="shared" si="21"/>
        <v>1590</v>
      </c>
    </row>
    <row r="29" ht="15.75" customHeight="1">
      <c r="A29" s="2" t="s">
        <v>3</v>
      </c>
      <c r="B29" s="4">
        <v>30.0</v>
      </c>
      <c r="C29" s="4">
        <v>6.0</v>
      </c>
      <c r="D29" s="4">
        <v>6.0</v>
      </c>
      <c r="E29" s="4">
        <v>12.0</v>
      </c>
      <c r="F29" s="4">
        <v>18.0</v>
      </c>
      <c r="G29" s="4">
        <v>18.0</v>
      </c>
      <c r="H29" s="4">
        <v>24.0</v>
      </c>
      <c r="I29" s="4">
        <v>18.0</v>
      </c>
      <c r="M29" s="2" t="s">
        <v>3</v>
      </c>
      <c r="N29" s="4">
        <f t="shared" ref="N29:U29" si="23">PRODUCT(B5,B18)</f>
        <v>1440</v>
      </c>
      <c r="O29" s="4">
        <f t="shared" si="23"/>
        <v>2400</v>
      </c>
      <c r="P29" s="4">
        <f t="shared" si="23"/>
        <v>0</v>
      </c>
      <c r="Q29" s="4">
        <f t="shared" si="23"/>
        <v>24</v>
      </c>
      <c r="R29" s="4">
        <f t="shared" si="23"/>
        <v>384</v>
      </c>
      <c r="S29" s="4">
        <f t="shared" si="23"/>
        <v>6</v>
      </c>
      <c r="T29" s="4">
        <f t="shared" si="23"/>
        <v>1152</v>
      </c>
      <c r="U29" s="4">
        <f t="shared" si="23"/>
        <v>18</v>
      </c>
      <c r="V29" s="16">
        <f t="shared" si="21"/>
        <v>5424</v>
      </c>
    </row>
    <row r="30" ht="15.75" customHeight="1">
      <c r="A30" s="2" t="s">
        <v>4</v>
      </c>
      <c r="B30" s="4">
        <v>60.0</v>
      </c>
      <c r="C30" s="4">
        <v>0.0</v>
      </c>
      <c r="D30" s="4">
        <v>60.0</v>
      </c>
      <c r="E30" s="4">
        <v>6.0</v>
      </c>
      <c r="F30" s="4">
        <v>48.0</v>
      </c>
      <c r="G30" s="4">
        <v>24.0</v>
      </c>
      <c r="H30" s="4">
        <v>18.0</v>
      </c>
      <c r="I30" s="4">
        <v>48.0</v>
      </c>
      <c r="M30" s="2" t="s">
        <v>4</v>
      </c>
      <c r="N30" s="4">
        <f t="shared" ref="N30:U30" si="24">PRODUCT(B6,B19)</f>
        <v>48</v>
      </c>
      <c r="O30" s="4">
        <f t="shared" si="24"/>
        <v>60</v>
      </c>
      <c r="P30" s="4">
        <f t="shared" si="24"/>
        <v>48</v>
      </c>
      <c r="Q30" s="4">
        <f t="shared" si="24"/>
        <v>0</v>
      </c>
      <c r="R30" s="4">
        <f t="shared" si="24"/>
        <v>42</v>
      </c>
      <c r="S30" s="4">
        <f t="shared" si="24"/>
        <v>60</v>
      </c>
      <c r="T30" s="4">
        <f t="shared" si="24"/>
        <v>6</v>
      </c>
      <c r="U30" s="4">
        <f t="shared" si="24"/>
        <v>24</v>
      </c>
      <c r="V30" s="16">
        <f t="shared" si="21"/>
        <v>288</v>
      </c>
    </row>
    <row r="31" ht="15.75" customHeight="1">
      <c r="A31" s="2" t="s">
        <v>5</v>
      </c>
      <c r="B31" s="4">
        <v>36.0</v>
      </c>
      <c r="C31" s="4">
        <v>36.0</v>
      </c>
      <c r="D31" s="4">
        <v>36.0</v>
      </c>
      <c r="E31" s="4">
        <v>42.0</v>
      </c>
      <c r="F31" s="4">
        <v>0.0</v>
      </c>
      <c r="G31" s="4">
        <v>48.0</v>
      </c>
      <c r="H31" s="4">
        <v>54.0</v>
      </c>
      <c r="I31" s="4">
        <v>24.0</v>
      </c>
      <c r="M31" s="2" t="s">
        <v>5</v>
      </c>
      <c r="N31" s="4">
        <f t="shared" ref="N31:U31" si="25">PRODUCT(B7,B20)</f>
        <v>30</v>
      </c>
      <c r="O31" s="4">
        <f t="shared" si="25"/>
        <v>42</v>
      </c>
      <c r="P31" s="4">
        <f t="shared" si="25"/>
        <v>30</v>
      </c>
      <c r="Q31" s="4">
        <f t="shared" si="25"/>
        <v>36</v>
      </c>
      <c r="R31" s="4">
        <f t="shared" si="25"/>
        <v>0</v>
      </c>
      <c r="S31" s="4">
        <f t="shared" si="25"/>
        <v>42</v>
      </c>
      <c r="T31" s="4">
        <f t="shared" si="25"/>
        <v>48</v>
      </c>
      <c r="U31" s="4">
        <f t="shared" si="25"/>
        <v>864</v>
      </c>
      <c r="V31" s="16">
        <f t="shared" si="21"/>
        <v>1092</v>
      </c>
    </row>
    <row r="32" ht="15.75" customHeight="1">
      <c r="A32" s="2" t="s">
        <v>6</v>
      </c>
      <c r="B32" s="4">
        <v>42.0</v>
      </c>
      <c r="C32" s="4">
        <v>42.0</v>
      </c>
      <c r="D32" s="4">
        <v>42.0</v>
      </c>
      <c r="E32" s="4">
        <v>48.0</v>
      </c>
      <c r="F32" s="4">
        <v>30.0</v>
      </c>
      <c r="G32" s="4">
        <v>6.0</v>
      </c>
      <c r="H32" s="4">
        <v>60.0</v>
      </c>
      <c r="I32" s="4">
        <v>30.0</v>
      </c>
      <c r="M32" s="2" t="s">
        <v>6</v>
      </c>
      <c r="N32" s="4">
        <f t="shared" ref="N32:U32" si="26">PRODUCT(B8,B21)</f>
        <v>30</v>
      </c>
      <c r="O32" s="4">
        <f t="shared" si="26"/>
        <v>42</v>
      </c>
      <c r="P32" s="4">
        <f t="shared" si="26"/>
        <v>6240</v>
      </c>
      <c r="Q32" s="4">
        <f t="shared" si="26"/>
        <v>36</v>
      </c>
      <c r="R32" s="4">
        <f t="shared" si="26"/>
        <v>24</v>
      </c>
      <c r="S32" s="4">
        <f t="shared" si="26"/>
        <v>0</v>
      </c>
      <c r="T32" s="4">
        <f t="shared" si="26"/>
        <v>48</v>
      </c>
      <c r="U32" s="4">
        <f t="shared" si="26"/>
        <v>480</v>
      </c>
      <c r="V32" s="16">
        <f t="shared" si="21"/>
        <v>6900</v>
      </c>
    </row>
    <row r="33" ht="15.75" customHeight="1">
      <c r="A33" s="2" t="s">
        <v>7</v>
      </c>
      <c r="B33" s="4">
        <v>48.0</v>
      </c>
      <c r="C33" s="4">
        <v>48.0</v>
      </c>
      <c r="D33" s="4">
        <v>48.0</v>
      </c>
      <c r="E33" s="4">
        <v>54.0</v>
      </c>
      <c r="F33" s="4">
        <v>36.0</v>
      </c>
      <c r="G33" s="4">
        <v>12.0</v>
      </c>
      <c r="H33" s="4">
        <v>6.0</v>
      </c>
      <c r="I33" s="4">
        <v>36.0</v>
      </c>
      <c r="M33" s="2" t="s">
        <v>7</v>
      </c>
      <c r="N33" s="4">
        <f t="shared" ref="N33:U33" si="27">PRODUCT(B9,B22)</f>
        <v>36</v>
      </c>
      <c r="O33" s="4">
        <f t="shared" si="27"/>
        <v>48</v>
      </c>
      <c r="P33" s="4">
        <f t="shared" si="27"/>
        <v>36</v>
      </c>
      <c r="Q33" s="4">
        <f t="shared" si="27"/>
        <v>42</v>
      </c>
      <c r="R33" s="4">
        <f t="shared" si="27"/>
        <v>960</v>
      </c>
      <c r="S33" s="4">
        <f t="shared" si="27"/>
        <v>48</v>
      </c>
      <c r="T33" s="4">
        <f t="shared" si="27"/>
        <v>0</v>
      </c>
      <c r="U33" s="4">
        <f t="shared" si="27"/>
        <v>1152</v>
      </c>
      <c r="V33" s="16">
        <f t="shared" si="21"/>
        <v>2322</v>
      </c>
    </row>
    <row r="34" ht="15.75" customHeight="1">
      <c r="M34" s="2" t="s">
        <v>65</v>
      </c>
      <c r="N34" s="16">
        <f t="shared" ref="N34:U34" si="28">SUM(N26:N33)</f>
        <v>2310</v>
      </c>
      <c r="O34" s="16">
        <f t="shared" si="28"/>
        <v>2616</v>
      </c>
      <c r="P34" s="16">
        <f t="shared" si="28"/>
        <v>8790</v>
      </c>
      <c r="Q34" s="16">
        <f t="shared" si="28"/>
        <v>162</v>
      </c>
      <c r="R34" s="16">
        <f t="shared" si="28"/>
        <v>3378</v>
      </c>
      <c r="S34" s="16">
        <f t="shared" si="28"/>
        <v>5358</v>
      </c>
      <c r="T34" s="16">
        <f t="shared" si="28"/>
        <v>2058</v>
      </c>
      <c r="U34" s="16">
        <f t="shared" si="28"/>
        <v>2628</v>
      </c>
      <c r="V34" s="16">
        <f t="shared" si="21"/>
        <v>27300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X20:Y20"/>
    <mergeCell ref="X21:Y21"/>
  </mergeCells>
  <printOptions/>
  <pageMargins bottom="0.75" footer="0.0" header="0.0" left="0.7" right="0.7" top="0.75"/>
  <pageSetup orientation="landscape"/>
  <drawing r:id="rId1"/>
</worksheet>
</file>